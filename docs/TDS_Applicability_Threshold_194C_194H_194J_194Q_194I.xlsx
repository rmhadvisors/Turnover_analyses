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mhac3\Downloads\"/>
    </mc:Choice>
  </mc:AlternateContent>
  <bookViews>
    <workbookView xWindow="0" yWindow="0" windowWidth="16380" windowHeight="8190" tabRatio="500"/>
  </bookViews>
  <sheets>
    <sheet name="TDS Summary" sheetId="1" r:id="rId1"/>
    <sheet name="Rate Master" sheetId="2" r:id="rId2"/>
    <sheet name="Applicability Checker" sheetId="3" r:id="rId3"/>
    <sheet name="Compliance &amp; Penalties" sheetId="4" r:id="rId4"/>
  </sheets>
  <calcPr calcId="152511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34" i="3" l="1"/>
  <c r="I34" i="3"/>
  <c r="G34" i="3"/>
  <c r="H34" i="3" s="1"/>
  <c r="J33" i="3"/>
  <c r="I33" i="3"/>
  <c r="G33" i="3"/>
  <c r="H33" i="3" s="1"/>
  <c r="J32" i="3"/>
  <c r="I32" i="3"/>
  <c r="G32" i="3"/>
  <c r="H32" i="3" s="1"/>
  <c r="J31" i="3"/>
  <c r="I31" i="3"/>
  <c r="G31" i="3"/>
  <c r="H31" i="3" s="1"/>
  <c r="J30" i="3"/>
  <c r="I30" i="3"/>
  <c r="G30" i="3"/>
  <c r="H30" i="3" s="1"/>
  <c r="J29" i="3"/>
  <c r="I29" i="3"/>
  <c r="G29" i="3"/>
  <c r="H29" i="3" s="1"/>
  <c r="J28" i="3"/>
  <c r="I28" i="3"/>
  <c r="G28" i="3"/>
  <c r="H28" i="3" s="1"/>
  <c r="J27" i="3"/>
  <c r="I27" i="3"/>
  <c r="G27" i="3"/>
  <c r="H27" i="3" s="1"/>
  <c r="J26" i="3"/>
  <c r="I26" i="3"/>
  <c r="G26" i="3"/>
  <c r="H26" i="3" s="1"/>
  <c r="J25" i="3"/>
  <c r="I25" i="3"/>
  <c r="G25" i="3"/>
  <c r="H25" i="3" s="1"/>
  <c r="J24" i="3"/>
  <c r="I24" i="3"/>
  <c r="G24" i="3"/>
  <c r="H24" i="3" s="1"/>
  <c r="J23" i="3"/>
  <c r="I23" i="3"/>
  <c r="G23" i="3"/>
  <c r="H23" i="3" s="1"/>
  <c r="J22" i="3"/>
  <c r="I22" i="3"/>
  <c r="G22" i="3"/>
  <c r="H22" i="3" s="1"/>
  <c r="J21" i="3"/>
  <c r="I21" i="3"/>
  <c r="G21" i="3"/>
  <c r="H21" i="3" s="1"/>
  <c r="J20" i="3"/>
  <c r="I20" i="3"/>
  <c r="G20" i="3"/>
  <c r="H20" i="3" s="1"/>
  <c r="J19" i="3"/>
  <c r="I19" i="3"/>
  <c r="G19" i="3"/>
  <c r="H19" i="3" s="1"/>
  <c r="J18" i="3"/>
  <c r="I18" i="3"/>
  <c r="G18" i="3"/>
  <c r="H18" i="3" s="1"/>
  <c r="J17" i="3"/>
  <c r="I17" i="3"/>
  <c r="G17" i="3"/>
  <c r="H17" i="3" s="1"/>
  <c r="J16" i="3"/>
  <c r="I16" i="3"/>
  <c r="G16" i="3"/>
  <c r="H16" i="3" s="1"/>
  <c r="J15" i="3"/>
  <c r="I15" i="3"/>
  <c r="G15" i="3"/>
  <c r="H15" i="3" s="1"/>
  <c r="J14" i="3"/>
  <c r="I14" i="3"/>
  <c r="G14" i="3"/>
  <c r="H14" i="3" s="1"/>
  <c r="J13" i="3"/>
  <c r="I13" i="3"/>
  <c r="G13" i="3"/>
  <c r="H13" i="3" s="1"/>
  <c r="J12" i="3"/>
  <c r="I12" i="3"/>
  <c r="G12" i="3"/>
  <c r="H12" i="3" s="1"/>
  <c r="J11" i="3"/>
  <c r="I11" i="3"/>
  <c r="G11" i="3"/>
  <c r="H11" i="3" s="1"/>
  <c r="J10" i="3"/>
  <c r="I10" i="3"/>
  <c r="G10" i="3"/>
  <c r="H10" i="3" s="1"/>
  <c r="J9" i="3"/>
  <c r="I9" i="3"/>
  <c r="G9" i="3"/>
  <c r="H9" i="3" s="1"/>
  <c r="J8" i="3"/>
  <c r="I8" i="3"/>
  <c r="G8" i="3"/>
  <c r="H8" i="3" s="1"/>
  <c r="J7" i="3"/>
  <c r="I7" i="3"/>
  <c r="G7" i="3"/>
  <c r="H7" i="3" s="1"/>
  <c r="J6" i="3"/>
  <c r="I6" i="3"/>
  <c r="G6" i="3"/>
  <c r="H6" i="3" s="1"/>
  <c r="I5" i="3"/>
  <c r="G5" i="3"/>
  <c r="H5" i="3" s="1"/>
  <c r="J5" i="3" s="1"/>
  <c r="J35" i="3" s="1"/>
</calcChain>
</file>

<file path=xl/sharedStrings.xml><?xml version="1.0" encoding="utf-8"?>
<sst xmlns="http://schemas.openxmlformats.org/spreadsheetml/2006/main" count="153" uniqueCount="121">
  <si>
    <t>TDS APPLICABILITY &amp; THRESHOLD LIMITS – SECTIONS 194C, 194H, 194J, 194Q &amp; 194I</t>
  </si>
  <si>
    <t>Applicable for FY 2026-27 (AY 2027-28). From 1 April 2026 these provisions are consolidated in s.393 of the Income-tax Act, 2025 (old section numbers retained here for reference). Thresholds/rates as amended up to Finance Act 2025.</t>
  </si>
  <si>
    <t>S.No</t>
  </si>
  <si>
    <t>Section (IT Act 1961)</t>
  </si>
  <si>
    <t>Nature of Payment</t>
  </si>
  <si>
    <t>Who deducts (Payer)</t>
  </si>
  <si>
    <t>Payee</t>
  </si>
  <si>
    <t>Threshold Limit (₹)</t>
  </si>
  <si>
    <t>TDS Rate – Individual/HUF payee</t>
  </si>
  <si>
    <t>TDS Rate – Other payee</t>
  </si>
  <si>
    <t>Rate if PAN not furnished (s.206AA)</t>
  </si>
  <si>
    <t>TDS deducted on</t>
  </si>
  <si>
    <t>Key Points / Remarks</t>
  </si>
  <si>
    <t>194C</t>
  </si>
  <si>
    <t>Payment to contractor / sub-contractor for carrying out any work (incl. supply of labour, advertising, catering, transport, job work)</t>
  </si>
  <si>
    <t>Any person other than Individual/HUF not liable to audit u/s 44AB; Govt., companies, firms, AOP, etc.</t>
  </si>
  <si>
    <t>Resident contractor / sub-contractor</t>
  </si>
  <si>
    <t>Single payment &gt; ₹30,000  OR  aggregate during FY &gt; ₹1,00,000</t>
  </si>
  <si>
    <t>Full amount (once threshold is crossed)</t>
  </si>
  <si>
    <t>• Transporter owning ≤10 goods carriages and furnishing PAN: NIL TDS.
• Contract for sale of goods is not covered; work contract is.
• TDS on invoice value excluding GST if shown separately.</t>
  </si>
  <si>
    <t>194H</t>
  </si>
  <si>
    <t>Commission or brokerage (not being insurance commission u/s 194D)</t>
  </si>
  <si>
    <t>Individual/HUF liable to audit u/s 44AB and all other persons (other than individual/HUF not liable to audit)</t>
  </si>
  <si>
    <t>Resident person</t>
  </si>
  <si>
    <t>Aggregate during FY &gt; ₹20,000 (raised from ₹15,000 w.e.f. 01.04.2025)</t>
  </si>
  <si>
    <t>• Rate 2% w.e.f. 01.10.2024 (earlier 5%).
• Not applicable on commission/brokerage to a principal-to-principal arrangement, or on securities-related brokerage per exceptions.</t>
  </si>
  <si>
    <t>194J(a)</t>
  </si>
  <si>
    <t>Fees for technical services, call-centre services, royalty for sale/distribution/exhibition of cinematographic films</t>
  </si>
  <si>
    <t>Any person other than Individual/HUF not liable to audit</t>
  </si>
  <si>
    <t>Aggregate during FY &gt; ₹50,000 per category (raised from ₹30,000 w.e.f. 01.04.2025)</t>
  </si>
  <si>
    <t>• Technical services ≠ managerial/consultancy services (those fall under 194J(b)).
• Threshold is applied separately for each category of fee.</t>
  </si>
  <si>
    <t>194J(b)</t>
  </si>
  <si>
    <t>Fees for professional services, royalty (other than film royalty), non-compete fee, other sums u/s 28(va)</t>
  </si>
  <si>
    <t>Same as above</t>
  </si>
  <si>
    <t>Aggregate during FY &gt; ₹50,000 per category</t>
  </si>
  <si>
    <t>• Professionals: legal, medical, engineering, architecture, accountancy, interior decoration, etc.
• Fee/remuneration to director (not salary) u/s 194J(1)(ba): 10%, NO threshold.</t>
  </si>
  <si>
    <t>194Q</t>
  </si>
  <si>
    <t>Purchase of goods from a resident seller</t>
  </si>
  <si>
    <t>Buyer whose turnover/gross receipts/sales &gt; ₹10 crore in the immediately preceding FY</t>
  </si>
  <si>
    <t>Resident seller</t>
  </si>
  <si>
    <t>Aggregate purchases from a seller in FY &gt; ₹50,00,000</t>
  </si>
  <si>
    <t>ONLY the amount exceeding ₹50 lakh</t>
  </si>
  <si>
    <t>• Threshold is per seller, cumulative from 1 April.
• If seller has already charged TCS u/s 206C(1H), buyer has no TDS obligation on that transaction.
• Not applicable where TDS applies under another section or 194-O (e-commerce).
• GST shown separately in invoice is excluded from base (CBDT Circular 13/2021).</t>
  </si>
  <si>
    <t>194I(a)</t>
  </si>
  <si>
    <t>Rent of plant &amp; machinery / equipment</t>
  </si>
  <si>
    <t>Aggregate rent during FY &gt; ₹6,00,000 (raised from ₹2,40,000 w.e.f. 01.04.2025)</t>
  </si>
  <si>
    <t>• Covers rent under lease, sub-lease, tenancy or any agreement.
• Threshold applies per payee (landlord) per FY.</t>
  </si>
  <si>
    <t>194I(b)</t>
  </si>
  <si>
    <t>Rent of land, building (incl. factory building) or furniture / fittings</t>
  </si>
  <si>
    <t>Aggregate rent during FY &gt; ₹6,00,000</t>
  </si>
  <si>
    <t>• Individual/HUF not liable to audit paying rent &gt; ₹50,000 per month: s.194-IB at 2% (deducted once, in last month of tenancy/FY).
• GST on rent: if shown separately, excluded from base.</t>
  </si>
  <si>
    <t>RATE &amp; THRESHOLD MASTER (edit blue cells if law changes)</t>
  </si>
  <si>
    <t>Blue = hardcoded inputs taken from the TDS Summary sheet. The Calculator reads from this table.</t>
  </si>
  <si>
    <t>Key</t>
  </si>
  <si>
    <t>Section</t>
  </si>
  <si>
    <t>Single payment threshold (₹) (0 = n/a)</t>
  </si>
  <si>
    <t>Annual / aggregate threshold (₹)</t>
  </si>
  <si>
    <t>Rate – Individual/HUF</t>
  </si>
  <si>
    <t>Rate – Others</t>
  </si>
  <si>
    <t>Rate – No PAN</t>
  </si>
  <si>
    <t>Base</t>
  </si>
  <si>
    <t>194C – Contractor</t>
  </si>
  <si>
    <t>Full</t>
  </si>
  <si>
    <t>194H – Commission/Brokerage</t>
  </si>
  <si>
    <t>194J(a) – Technical services/Call centre</t>
  </si>
  <si>
    <t>194J</t>
  </si>
  <si>
    <t>194J(b) – Professional fees/Royalty/Non-compete</t>
  </si>
  <si>
    <t>194J(ba) – Director remuneration</t>
  </si>
  <si>
    <t>194Q – Purchase of goods</t>
  </si>
  <si>
    <t>Excess</t>
  </si>
  <si>
    <t>194I(a) – Rent: Plant &amp; Machinery</t>
  </si>
  <si>
    <t>194I</t>
  </si>
  <si>
    <t>194I(b) – Rent: Land/Building/Furniture</t>
  </si>
  <si>
    <t>Base: 'Full' = TDS on entire aggregate once threshold exceeded; 'Excess' = TDS only on amount above threshold (194Q).</t>
  </si>
  <si>
    <t>TDS APPLICABILITY CHECKER</t>
  </si>
  <si>
    <t>Yellow cells = inputs (row 5 is an example – overwrite it). Grey columns calculate automatically from the Rate Master. Amounts should exclude GST where GST is shown separately.</t>
  </si>
  <si>
    <t>Party / Payee name</t>
  </si>
  <si>
    <t>Nature of payment (select)</t>
  </si>
  <si>
    <t>Payee type (select)</t>
  </si>
  <si>
    <t>PAN available? (select)</t>
  </si>
  <si>
    <t>Single payment (₹)</t>
  </si>
  <si>
    <t>Aggregate payments in FY incl. current (₹)</t>
  </si>
  <si>
    <t>Threshold crossed?</t>
  </si>
  <si>
    <t>TDS base (₹)</t>
  </si>
  <si>
    <t>TDS rate applied</t>
  </si>
  <si>
    <t>TDS amount (₹)</t>
  </si>
  <si>
    <t>ABC Contractors</t>
  </si>
  <si>
    <t>Other</t>
  </si>
  <si>
    <t>Yes</t>
  </si>
  <si>
    <t>Total TDS</t>
  </si>
  <si>
    <t>Legend: Yellow = input | Grey = formula. Where no PAN is furnished, higher of normal rate and s.206AA rate is applied (20%; 5% for 194Q). Aggregate threshold for 194C is tested against both single-payment (₹30,000) and aggregate (₹1,00,000) limits.</t>
  </si>
  <si>
    <t>COMPLIANCE CALENDAR &amp; CONSEQUENCES OF DEFAULT</t>
  </si>
  <si>
    <t>General reference – confirm due dates against the latest CBDT notifications.</t>
  </si>
  <si>
    <t>Item</t>
  </si>
  <si>
    <t>Detail</t>
  </si>
  <si>
    <t>Applies to</t>
  </si>
  <si>
    <t>Time of deduction</t>
  </si>
  <si>
    <t>Earlier of credit to payee's account or actual payment (cash/cheque/draft/other mode).</t>
  </si>
  <si>
    <t>194C, 194H, 194J, 194I, 194Q</t>
  </si>
  <si>
    <t>Deposit of TDS</t>
  </si>
  <si>
    <t>By 7th of the following month; for March deductions by 30th April (Govt. deductors without challan: same day).</t>
  </si>
  <si>
    <t>All</t>
  </si>
  <si>
    <t>Quarterly TDS return</t>
  </si>
  <si>
    <t>Form 26Q: Q1 – 31 Jul, Q2 – 31 Oct, Q3 – 31 Jan, Q4 – 31 May. (Form numbers under the 2025 Act may differ – check portal.)</t>
  </si>
  <si>
    <t>TDS certificate</t>
  </si>
  <si>
    <t>Form 16A within 15 days of the due date of filing the quarterly return.</t>
  </si>
  <si>
    <t>Interest – late deduction</t>
  </si>
  <si>
    <t>1% per month or part of month from date tax was deductible to date of deduction.</t>
  </si>
  <si>
    <t>Interest – late deposit</t>
  </si>
  <si>
    <t>1.5% per month or part of month from date of deduction to date of deposit.</t>
  </si>
  <si>
    <t>Late fee on return</t>
  </si>
  <si>
    <t>₹200 per day u/s 234E (capped at the TDS amount).</t>
  </si>
  <si>
    <t>Penalty</t>
  </si>
  <si>
    <t>s.271C – penalty equal to amount of TDS not deducted/deposited; s.271H – ₹10,000 to ₹1,00,000 for return default.</t>
  </si>
  <si>
    <t>Disallowance of expense</t>
  </si>
  <si>
    <t>30% of the expenditure disallowed u/s 40(a)(ia) if TDS not deducted/deposited (allowed in the year of deposit).</t>
  </si>
  <si>
    <t>194C, 194H, 194J, 194I (and 194Q)</t>
  </si>
  <si>
    <t>Lower / nil deduction</t>
  </si>
  <si>
    <t>Certificate u/s 197 from the Assessing Officer; Form 15G/15H not available for these payments.</t>
  </si>
  <si>
    <t>Non-filer higher rate (s.206AB)</t>
  </si>
  <si>
    <t>Omitted w.e.f. 01.04.2025 – no longer applicable.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</si>
</sst>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;\(#,##0\);\-"/>
    <numFmt numFmtId="165" formatCode="0.0%"/>
  </numFmts>
  <fonts count="12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9"/>
      <name val="Arial"/>
      <charset val="1"/>
    </font>
    <font>
      <b/>
      <sz val="10"/>
      <color rgb="FFFFFFFF"/>
      <name val="Arial"/>
      <charset val="1"/>
    </font>
    <font>
      <sz val="9"/>
      <name val="Arial"/>
      <charset val="1"/>
    </font>
    <font>
      <b/>
      <sz val="9"/>
      <name val="Arial"/>
      <charset val="1"/>
    </font>
    <font>
      <i/>
      <sz val="8"/>
      <name val="Arial"/>
      <charset val="1"/>
    </font>
    <font>
      <sz val="10"/>
      <color rgb="FF000000"/>
      <name val="Arial"/>
      <charset val="1"/>
    </font>
    <font>
      <sz val="10"/>
      <color rgb="FF0000FF"/>
      <name val="Arial"/>
      <charset val="1"/>
    </font>
    <font>
      <sz val="10"/>
      <name val="Arial"/>
      <charset val="1"/>
    </font>
    <font>
      <b/>
      <sz val="11"/>
      <name val="Arial"/>
      <charset val="1"/>
    </font>
    <font>
      <b/>
      <sz val="1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99"/>
        <bgColor rgb="FFEDEDED"/>
      </patternFill>
    </fill>
    <fill>
      <patternFill patternType="solid">
        <fgColor rgb="FFEDEDED"/>
        <bgColor rgb="FFFFFFFF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Border="1" applyAlignment="1">
      <alignment vertical="top" wrapText="1"/>
    </xf>
    <xf numFmtId="0" fontId="1" fillId="2" borderId="0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6" fillId="0" borderId="0" xfId="0" applyFont="1"/>
    <xf numFmtId="0" fontId="7" fillId="0" borderId="1" xfId="0" applyFont="1" applyBorder="1"/>
    <xf numFmtId="164" fontId="8" fillId="0" borderId="1" xfId="0" applyNumberFormat="1" applyFont="1" applyBorder="1"/>
    <xf numFmtId="165" fontId="8" fillId="0" borderId="1" xfId="0" applyNumberFormat="1" applyFont="1" applyBorder="1"/>
    <xf numFmtId="0" fontId="8" fillId="3" borderId="1" xfId="0" applyFont="1" applyFill="1" applyBorder="1"/>
    <xf numFmtId="164" fontId="8" fillId="3" borderId="1" xfId="0" applyNumberFormat="1" applyFont="1" applyFill="1" applyBorder="1"/>
    <xf numFmtId="0" fontId="9" fillId="4" borderId="1" xfId="0" applyFont="1" applyFill="1" applyBorder="1"/>
    <xf numFmtId="164" fontId="9" fillId="4" borderId="1" xfId="0" applyNumberFormat="1" applyFont="1" applyFill="1" applyBorder="1"/>
    <xf numFmtId="165" fontId="9" fillId="4" borderId="1" xfId="0" applyNumberFormat="1" applyFont="1" applyFill="1" applyBorder="1"/>
    <xf numFmtId="0" fontId="10" fillId="0" borderId="0" xfId="0" applyFont="1"/>
    <xf numFmtId="164" fontId="10" fillId="0" borderId="0" xfId="0" applyNumberFormat="1" applyFont="1"/>
    <xf numFmtId="0" fontId="11" fillId="0" borderId="1" xfId="0" applyFont="1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9" fontId="4" fillId="0" borderId="1" xfId="0" applyNumberFormat="1" applyFont="1" applyBorder="1" applyAlignment="1">
      <alignment horizontal="center" vertical="center" wrapText="1"/>
    </xf>
    <xf numFmtId="10" fontId="4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DEDE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0"/>
  <sheetViews>
    <sheetView showGridLines="0" tabSelected="1" zoomScaleNormal="100" workbookViewId="0">
      <pane xSplit="2" ySplit="3" topLeftCell="C5" activePane="bottomRight" state="frozen"/>
      <selection pane="topRight" activeCell="C1" sqref="C1"/>
      <selection pane="bottomLeft" activeCell="A5" sqref="A5"/>
      <selection pane="bottomRight" activeCell="D6" sqref="D6"/>
    </sheetView>
  </sheetViews>
  <sheetFormatPr defaultColWidth="8.6328125" defaultRowHeight="14.5" x14ac:dyDescent="0.35"/>
  <cols>
    <col min="1" max="1" width="6" customWidth="1"/>
    <col min="2" max="2" width="12" customWidth="1"/>
    <col min="3" max="3" width="34" customWidth="1"/>
    <col min="4" max="4" width="30" customWidth="1"/>
    <col min="5" max="5" width="18" customWidth="1"/>
    <col min="6" max="6" width="30" customWidth="1"/>
    <col min="7" max="8" width="13" customWidth="1"/>
    <col min="9" max="9" width="14" customWidth="1"/>
    <col min="10" max="10" width="20" customWidth="1"/>
    <col min="11" max="11" width="52" customWidth="1"/>
  </cols>
  <sheetData>
    <row r="1" spans="1:11" ht="27.75" customHeight="1" x14ac:dyDescent="0.3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30" customHeight="1" x14ac:dyDescent="0.3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33.5" customHeight="1" x14ac:dyDescent="0.3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</row>
    <row r="4" spans="1:11" ht="68.5" customHeight="1" x14ac:dyDescent="0.35">
      <c r="A4" s="4">
        <v>1</v>
      </c>
      <c r="B4" s="5" t="s">
        <v>13</v>
      </c>
      <c r="C4" s="6" t="s">
        <v>14</v>
      </c>
      <c r="D4" s="6" t="s">
        <v>15</v>
      </c>
      <c r="E4" s="6" t="s">
        <v>16</v>
      </c>
      <c r="F4" s="6" t="s">
        <v>17</v>
      </c>
      <c r="G4" s="20">
        <v>0.01</v>
      </c>
      <c r="H4" s="20">
        <v>0.02</v>
      </c>
      <c r="I4" s="20">
        <v>0.2</v>
      </c>
      <c r="J4" s="6" t="s">
        <v>18</v>
      </c>
      <c r="K4" s="6" t="s">
        <v>19</v>
      </c>
    </row>
    <row r="5" spans="1:11" ht="73.5" customHeight="1" x14ac:dyDescent="0.35">
      <c r="A5" s="4">
        <v>2</v>
      </c>
      <c r="B5" s="5" t="s">
        <v>20</v>
      </c>
      <c r="C5" s="6" t="s">
        <v>21</v>
      </c>
      <c r="D5" s="6" t="s">
        <v>22</v>
      </c>
      <c r="E5" s="6" t="s">
        <v>23</v>
      </c>
      <c r="F5" s="6" t="s">
        <v>24</v>
      </c>
      <c r="G5" s="20">
        <v>0.02</v>
      </c>
      <c r="H5" s="20">
        <v>0.02</v>
      </c>
      <c r="I5" s="20">
        <v>0.2</v>
      </c>
      <c r="J5" s="6" t="s">
        <v>18</v>
      </c>
      <c r="K5" s="6" t="s">
        <v>25</v>
      </c>
    </row>
    <row r="6" spans="1:11" ht="55.5" customHeight="1" x14ac:dyDescent="0.35">
      <c r="A6" s="4">
        <v>3</v>
      </c>
      <c r="B6" s="5" t="s">
        <v>26</v>
      </c>
      <c r="C6" s="6" t="s">
        <v>27</v>
      </c>
      <c r="D6" s="6" t="s">
        <v>28</v>
      </c>
      <c r="E6" s="6" t="s">
        <v>23</v>
      </c>
      <c r="F6" s="6" t="s">
        <v>29</v>
      </c>
      <c r="G6" s="20">
        <v>0.02</v>
      </c>
      <c r="H6" s="20">
        <v>0.02</v>
      </c>
      <c r="I6" s="20">
        <v>0.2</v>
      </c>
      <c r="J6" s="6" t="s">
        <v>18</v>
      </c>
      <c r="K6" s="6" t="s">
        <v>30</v>
      </c>
    </row>
    <row r="7" spans="1:11" ht="70.5" customHeight="1" x14ac:dyDescent="0.35">
      <c r="A7" s="4">
        <v>4</v>
      </c>
      <c r="B7" s="5" t="s">
        <v>31</v>
      </c>
      <c r="C7" s="6" t="s">
        <v>32</v>
      </c>
      <c r="D7" s="6" t="s">
        <v>33</v>
      </c>
      <c r="E7" s="6" t="s">
        <v>23</v>
      </c>
      <c r="F7" s="6" t="s">
        <v>34</v>
      </c>
      <c r="G7" s="20">
        <v>0.1</v>
      </c>
      <c r="H7" s="20">
        <v>0.1</v>
      </c>
      <c r="I7" s="20">
        <v>0.2</v>
      </c>
      <c r="J7" s="6" t="s">
        <v>18</v>
      </c>
      <c r="K7" s="6" t="s">
        <v>35</v>
      </c>
    </row>
    <row r="8" spans="1:11" ht="74.5" customHeight="1" x14ac:dyDescent="0.35">
      <c r="A8" s="4">
        <v>5</v>
      </c>
      <c r="B8" s="5" t="s">
        <v>36</v>
      </c>
      <c r="C8" s="6" t="s">
        <v>37</v>
      </c>
      <c r="D8" s="6" t="s">
        <v>38</v>
      </c>
      <c r="E8" s="6" t="s">
        <v>39</v>
      </c>
      <c r="F8" s="6" t="s">
        <v>40</v>
      </c>
      <c r="G8" s="21">
        <v>1E-3</v>
      </c>
      <c r="H8" s="21">
        <v>1E-3</v>
      </c>
      <c r="I8" s="20">
        <v>0.05</v>
      </c>
      <c r="J8" s="6" t="s">
        <v>41</v>
      </c>
      <c r="K8" s="6" t="s">
        <v>42</v>
      </c>
    </row>
    <row r="9" spans="1:11" ht="77.5" customHeight="1" x14ac:dyDescent="0.35">
      <c r="A9" s="4">
        <v>6</v>
      </c>
      <c r="B9" s="5" t="s">
        <v>43</v>
      </c>
      <c r="C9" s="6" t="s">
        <v>44</v>
      </c>
      <c r="D9" s="6" t="s">
        <v>28</v>
      </c>
      <c r="E9" s="6" t="s">
        <v>23</v>
      </c>
      <c r="F9" s="6" t="s">
        <v>45</v>
      </c>
      <c r="G9" s="20">
        <v>0.02</v>
      </c>
      <c r="H9" s="20">
        <v>0.02</v>
      </c>
      <c r="I9" s="20">
        <v>0.2</v>
      </c>
      <c r="J9" s="6" t="s">
        <v>18</v>
      </c>
      <c r="K9" s="6" t="s">
        <v>46</v>
      </c>
    </row>
    <row r="10" spans="1:11" ht="45" customHeight="1" x14ac:dyDescent="0.35">
      <c r="A10" s="4">
        <v>7</v>
      </c>
      <c r="B10" s="5" t="s">
        <v>47</v>
      </c>
      <c r="C10" s="6" t="s">
        <v>48</v>
      </c>
      <c r="D10" s="6" t="s">
        <v>28</v>
      </c>
      <c r="E10" s="6" t="s">
        <v>23</v>
      </c>
      <c r="F10" s="6" t="s">
        <v>49</v>
      </c>
      <c r="G10" s="20">
        <v>0.1</v>
      </c>
      <c r="H10" s="20">
        <v>0.1</v>
      </c>
      <c r="I10" s="20">
        <v>0.2</v>
      </c>
      <c r="J10" s="6" t="s">
        <v>18</v>
      </c>
      <c r="K10" s="6" t="s">
        <v>50</v>
      </c>
    </row>
  </sheetData>
  <mergeCells count="2">
    <mergeCell ref="A1:K1"/>
    <mergeCell ref="A2:K2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4"/>
  <sheetViews>
    <sheetView showGridLines="0" zoomScaleNormal="100" workbookViewId="0">
      <selection sqref="A1:H1"/>
    </sheetView>
  </sheetViews>
  <sheetFormatPr defaultColWidth="8.6328125" defaultRowHeight="14.5" x14ac:dyDescent="0.35"/>
  <cols>
    <col min="1" max="1" width="46" customWidth="1"/>
    <col min="2" max="2" width="10" customWidth="1"/>
    <col min="3" max="4" width="22" customWidth="1"/>
    <col min="5" max="5" width="16" customWidth="1"/>
    <col min="6" max="7" width="14" customWidth="1"/>
    <col min="8" max="8" width="10" customWidth="1"/>
  </cols>
  <sheetData>
    <row r="1" spans="1:8" ht="27.75" customHeight="1" x14ac:dyDescent="0.35">
      <c r="A1" s="2" t="s">
        <v>51</v>
      </c>
      <c r="B1" s="2"/>
      <c r="C1" s="2"/>
      <c r="D1" s="2"/>
      <c r="E1" s="2"/>
      <c r="F1" s="2"/>
      <c r="G1" s="2"/>
      <c r="H1" s="2"/>
    </row>
    <row r="2" spans="1:8" ht="30" customHeight="1" x14ac:dyDescent="0.35">
      <c r="A2" s="1" t="s">
        <v>52</v>
      </c>
      <c r="B2" s="1"/>
      <c r="C2" s="1"/>
      <c r="D2" s="1"/>
      <c r="E2" s="1"/>
      <c r="F2" s="1"/>
      <c r="G2" s="1"/>
      <c r="H2" s="1"/>
    </row>
    <row r="4" spans="1:8" ht="33.75" customHeight="1" x14ac:dyDescent="0.35">
      <c r="A4" s="3" t="s">
        <v>53</v>
      </c>
      <c r="B4" s="3" t="s">
        <v>54</v>
      </c>
      <c r="C4" s="3" t="s">
        <v>55</v>
      </c>
      <c r="D4" s="3" t="s">
        <v>56</v>
      </c>
      <c r="E4" s="3" t="s">
        <v>57</v>
      </c>
      <c r="F4" s="3" t="s">
        <v>58</v>
      </c>
      <c r="G4" s="3" t="s">
        <v>59</v>
      </c>
      <c r="H4" s="3" t="s">
        <v>60</v>
      </c>
    </row>
    <row r="5" spans="1:8" x14ac:dyDescent="0.35">
      <c r="A5" s="8" t="s">
        <v>61</v>
      </c>
      <c r="B5" s="8" t="s">
        <v>13</v>
      </c>
      <c r="C5" s="9">
        <v>30000</v>
      </c>
      <c r="D5" s="9">
        <v>100000</v>
      </c>
      <c r="E5" s="10">
        <v>0.01</v>
      </c>
      <c r="F5" s="10">
        <v>0.02</v>
      </c>
      <c r="G5" s="10">
        <v>0.2</v>
      </c>
      <c r="H5" s="8" t="s">
        <v>62</v>
      </c>
    </row>
    <row r="6" spans="1:8" x14ac:dyDescent="0.35">
      <c r="A6" s="8" t="s">
        <v>63</v>
      </c>
      <c r="B6" s="8" t="s">
        <v>20</v>
      </c>
      <c r="C6" s="9">
        <v>0</v>
      </c>
      <c r="D6" s="9">
        <v>20000</v>
      </c>
      <c r="E6" s="10">
        <v>0.02</v>
      </c>
      <c r="F6" s="10">
        <v>0.02</v>
      </c>
      <c r="G6" s="10">
        <v>0.2</v>
      </c>
      <c r="H6" s="8" t="s">
        <v>62</v>
      </c>
    </row>
    <row r="7" spans="1:8" x14ac:dyDescent="0.35">
      <c r="A7" s="8" t="s">
        <v>64</v>
      </c>
      <c r="B7" s="8" t="s">
        <v>65</v>
      </c>
      <c r="C7" s="9">
        <v>0</v>
      </c>
      <c r="D7" s="9">
        <v>50000</v>
      </c>
      <c r="E7" s="10">
        <v>0.02</v>
      </c>
      <c r="F7" s="10">
        <v>0.02</v>
      </c>
      <c r="G7" s="10">
        <v>0.2</v>
      </c>
      <c r="H7" s="8" t="s">
        <v>62</v>
      </c>
    </row>
    <row r="8" spans="1:8" x14ac:dyDescent="0.35">
      <c r="A8" s="8" t="s">
        <v>66</v>
      </c>
      <c r="B8" s="8" t="s">
        <v>65</v>
      </c>
      <c r="C8" s="9">
        <v>0</v>
      </c>
      <c r="D8" s="9">
        <v>50000</v>
      </c>
      <c r="E8" s="10">
        <v>0.1</v>
      </c>
      <c r="F8" s="10">
        <v>0.1</v>
      </c>
      <c r="G8" s="10">
        <v>0.2</v>
      </c>
      <c r="H8" s="8" t="s">
        <v>62</v>
      </c>
    </row>
    <row r="9" spans="1:8" x14ac:dyDescent="0.35">
      <c r="A9" s="8" t="s">
        <v>67</v>
      </c>
      <c r="B9" s="8" t="s">
        <v>65</v>
      </c>
      <c r="C9" s="9">
        <v>0</v>
      </c>
      <c r="D9" s="9">
        <v>0</v>
      </c>
      <c r="E9" s="10">
        <v>0.1</v>
      </c>
      <c r="F9" s="10">
        <v>0.1</v>
      </c>
      <c r="G9" s="10">
        <v>0.2</v>
      </c>
      <c r="H9" s="8" t="s">
        <v>62</v>
      </c>
    </row>
    <row r="10" spans="1:8" x14ac:dyDescent="0.35">
      <c r="A10" s="8" t="s">
        <v>68</v>
      </c>
      <c r="B10" s="8" t="s">
        <v>36</v>
      </c>
      <c r="C10" s="9">
        <v>0</v>
      </c>
      <c r="D10" s="9">
        <v>5000000</v>
      </c>
      <c r="E10" s="10">
        <v>1E-3</v>
      </c>
      <c r="F10" s="10">
        <v>1E-3</v>
      </c>
      <c r="G10" s="10">
        <v>0.05</v>
      </c>
      <c r="H10" s="8" t="s">
        <v>69</v>
      </c>
    </row>
    <row r="11" spans="1:8" x14ac:dyDescent="0.35">
      <c r="A11" s="8" t="s">
        <v>70</v>
      </c>
      <c r="B11" s="8" t="s">
        <v>71</v>
      </c>
      <c r="C11" s="9">
        <v>0</v>
      </c>
      <c r="D11" s="9">
        <v>600000</v>
      </c>
      <c r="E11" s="10">
        <v>0.02</v>
      </c>
      <c r="F11" s="10">
        <v>0.02</v>
      </c>
      <c r="G11" s="10">
        <v>0.2</v>
      </c>
      <c r="H11" s="8" t="s">
        <v>62</v>
      </c>
    </row>
    <row r="12" spans="1:8" x14ac:dyDescent="0.35">
      <c r="A12" s="8" t="s">
        <v>72</v>
      </c>
      <c r="B12" s="8" t="s">
        <v>71</v>
      </c>
      <c r="C12" s="9">
        <v>0</v>
      </c>
      <c r="D12" s="9">
        <v>600000</v>
      </c>
      <c r="E12" s="10">
        <v>0.1</v>
      </c>
      <c r="F12" s="10">
        <v>0.1</v>
      </c>
      <c r="G12" s="10">
        <v>0.2</v>
      </c>
      <c r="H12" s="8" t="s">
        <v>62</v>
      </c>
    </row>
    <row r="14" spans="1:8" x14ac:dyDescent="0.35">
      <c r="A14" s="7" t="s">
        <v>73</v>
      </c>
    </row>
  </sheetData>
  <mergeCells count="2">
    <mergeCell ref="A1:H1"/>
    <mergeCell ref="A2:H2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7"/>
  <sheetViews>
    <sheetView showGridLines="0" zoomScaleNormal="100" workbookViewId="0">
      <pane ySplit="4" topLeftCell="A5" activePane="bottomLeft" state="frozen"/>
      <selection pane="bottomLeft" activeCell="B16" sqref="B16"/>
    </sheetView>
  </sheetViews>
  <sheetFormatPr defaultColWidth="8.6328125" defaultRowHeight="14.5" x14ac:dyDescent="0.35"/>
  <cols>
    <col min="1" max="1" width="24" customWidth="1"/>
    <col min="2" max="2" width="44" customWidth="1"/>
    <col min="3" max="3" width="16" customWidth="1"/>
    <col min="4" max="4" width="14" customWidth="1"/>
    <col min="5" max="5" width="15" customWidth="1"/>
    <col min="6" max="7" width="22" customWidth="1"/>
    <col min="8" max="8" width="16" customWidth="1"/>
    <col min="9" max="9" width="12" customWidth="1"/>
    <col min="10" max="10" width="16" customWidth="1"/>
  </cols>
  <sheetData>
    <row r="1" spans="1:10" ht="27.75" customHeight="1" x14ac:dyDescent="0.35">
      <c r="A1" s="2" t="s">
        <v>74</v>
      </c>
      <c r="B1" s="2"/>
      <c r="C1" s="2"/>
      <c r="D1" s="2"/>
      <c r="E1" s="2"/>
      <c r="F1" s="2"/>
      <c r="G1" s="2"/>
      <c r="H1" s="2"/>
      <c r="I1" s="2"/>
      <c r="J1" s="2"/>
    </row>
    <row r="2" spans="1:10" ht="30" customHeight="1" x14ac:dyDescent="0.35">
      <c r="A2" s="1" t="s">
        <v>75</v>
      </c>
      <c r="B2" s="1"/>
      <c r="C2" s="1"/>
      <c r="D2" s="1"/>
      <c r="E2" s="1"/>
      <c r="F2" s="1"/>
      <c r="G2" s="1"/>
      <c r="H2" s="1"/>
      <c r="I2" s="1"/>
      <c r="J2" s="1"/>
    </row>
    <row r="4" spans="1:10" ht="33.75" customHeight="1" x14ac:dyDescent="0.35">
      <c r="A4" s="3" t="s">
        <v>76</v>
      </c>
      <c r="B4" s="3" t="s">
        <v>77</v>
      </c>
      <c r="C4" s="3" t="s">
        <v>78</v>
      </c>
      <c r="D4" s="3" t="s">
        <v>79</v>
      </c>
      <c r="E4" s="3" t="s">
        <v>80</v>
      </c>
      <c r="F4" s="3" t="s">
        <v>81</v>
      </c>
      <c r="G4" s="3" t="s">
        <v>82</v>
      </c>
      <c r="H4" s="3" t="s">
        <v>83</v>
      </c>
      <c r="I4" s="3" t="s">
        <v>84</v>
      </c>
      <c r="J4" s="3" t="s">
        <v>85</v>
      </c>
    </row>
    <row r="5" spans="1:10" x14ac:dyDescent="0.35">
      <c r="A5" s="11" t="s">
        <v>86</v>
      </c>
      <c r="B5" s="11" t="s">
        <v>61</v>
      </c>
      <c r="C5" s="11" t="s">
        <v>87</v>
      </c>
      <c r="D5" s="11" t="s">
        <v>88</v>
      </c>
      <c r="E5" s="12">
        <v>45000</v>
      </c>
      <c r="F5" s="12">
        <v>120000</v>
      </c>
      <c r="G5" s="13" t="str">
        <f>IF($B5="","",IF(OR(AND(INDEX('Rate Master'!$C$5:$C$12,MATCH($B5,'Rate Master'!$A$5:$A$12,0))&gt;0,$E5&gt;INDEX('Rate Master'!$C$5:$C$12,MATCH($B5,'Rate Master'!$A$5:$A$12,0))),$F5&gt;INDEX('Rate Master'!$D$5:$D$12,MATCH($B5,'Rate Master'!$A$5:$A$12,0))),"Yes – deduct TDS","No – below threshold"))</f>
        <v>Yes – deduct TDS</v>
      </c>
      <c r="H5" s="14">
        <f>IF(LEFT($G5,3)&lt;&gt;"Yes",0,IF(INDEX('Rate Master'!$H$5:$H$12,MATCH($B5,'Rate Master'!$A$5:$A$12,0))="Excess",MAX(0,$F5-INDEX('Rate Master'!$D$5:$D$12,MATCH($B5,'Rate Master'!$A$5:$A$12,0))),$F5))</f>
        <v>120000</v>
      </c>
      <c r="I5" s="15">
        <f>IF($B5="","",IF($D5="No",MAX(INDEX('Rate Master'!$G$5:$G$12,MATCH($B5,'Rate Master'!$A$5:$A$12,0)),IF($C5="Individual/HUF",INDEX('Rate Master'!$E$5:$E$12,MATCH($B5,'Rate Master'!$A$5:$A$12,0)),INDEX('Rate Master'!$F$5:$F$12,MATCH($B5,'Rate Master'!$A$5:$A$12,0)))),IF($C5="Individual/HUF",INDEX('Rate Master'!$E$5:$E$12,MATCH($B5,'Rate Master'!$A$5:$A$12,0)),INDEX('Rate Master'!$F$5:$F$12,MATCH($B5,'Rate Master'!$A$5:$A$12,0)))))</f>
        <v>0.02</v>
      </c>
      <c r="J5" s="14">
        <f t="shared" ref="J5:J34" si="0">IF($B5="",0,ROUND($H5*$I5,0))</f>
        <v>2400</v>
      </c>
    </row>
    <row r="6" spans="1:10" x14ac:dyDescent="0.35">
      <c r="A6" s="11"/>
      <c r="B6" s="11"/>
      <c r="C6" s="11"/>
      <c r="D6" s="11"/>
      <c r="E6" s="12"/>
      <c r="F6" s="12"/>
      <c r="G6" s="13" t="str">
        <f>IF($B6="","",IF(OR(AND(INDEX('Rate Master'!$C$5:$C$12,MATCH($B6,'Rate Master'!$A$5:$A$12,0))&gt;0,$E6&gt;INDEX('Rate Master'!$C$5:$C$12,MATCH($B6,'Rate Master'!$A$5:$A$12,0))),$F6&gt;INDEX('Rate Master'!$D$5:$D$12,MATCH($B6,'Rate Master'!$A$5:$A$12,0))),"Yes – deduct TDS","No – below threshold"))</f>
        <v/>
      </c>
      <c r="H6" s="14">
        <f>IF(LEFT($G6,3)&lt;&gt;"Yes",0,IF(INDEX('Rate Master'!$H$5:$H$12,MATCH($B6,'Rate Master'!$A$5:$A$12,0))="Excess",MAX(0,$F6-INDEX('Rate Master'!$D$5:$D$12,MATCH($B6,'Rate Master'!$A$5:$A$12,0))),$F6))</f>
        <v>0</v>
      </c>
      <c r="I6" s="15" t="str">
        <f>IF($B6="","",IF($D6="No",MAX(INDEX('Rate Master'!$G$5:$G$12,MATCH($B6,'Rate Master'!$A$5:$A$12,0)),IF($C6="Individual/HUF",INDEX('Rate Master'!$E$5:$E$12,MATCH($B6,'Rate Master'!$A$5:$A$12,0)),INDEX('Rate Master'!$F$5:$F$12,MATCH($B6,'Rate Master'!$A$5:$A$12,0)))),IF($C6="Individual/HUF",INDEX('Rate Master'!$E$5:$E$12,MATCH($B6,'Rate Master'!$A$5:$A$12,0)),INDEX('Rate Master'!$F$5:$F$12,MATCH($B6,'Rate Master'!$A$5:$A$12,0)))))</f>
        <v/>
      </c>
      <c r="J6" s="14">
        <f t="shared" si="0"/>
        <v>0</v>
      </c>
    </row>
    <row r="7" spans="1:10" x14ac:dyDescent="0.35">
      <c r="A7" s="11"/>
      <c r="B7" s="11"/>
      <c r="C7" s="11"/>
      <c r="D7" s="11"/>
      <c r="E7" s="12"/>
      <c r="F7" s="12"/>
      <c r="G7" s="13" t="str">
        <f>IF($B7="","",IF(OR(AND(INDEX('Rate Master'!$C$5:$C$12,MATCH($B7,'Rate Master'!$A$5:$A$12,0))&gt;0,$E7&gt;INDEX('Rate Master'!$C$5:$C$12,MATCH($B7,'Rate Master'!$A$5:$A$12,0))),$F7&gt;INDEX('Rate Master'!$D$5:$D$12,MATCH($B7,'Rate Master'!$A$5:$A$12,0))),"Yes – deduct TDS","No – below threshold"))</f>
        <v/>
      </c>
      <c r="H7" s="14">
        <f>IF(LEFT($G7,3)&lt;&gt;"Yes",0,IF(INDEX('Rate Master'!$H$5:$H$12,MATCH($B7,'Rate Master'!$A$5:$A$12,0))="Excess",MAX(0,$F7-INDEX('Rate Master'!$D$5:$D$12,MATCH($B7,'Rate Master'!$A$5:$A$12,0))),$F7))</f>
        <v>0</v>
      </c>
      <c r="I7" s="15" t="str">
        <f>IF($B7="","",IF($D7="No",MAX(INDEX('Rate Master'!$G$5:$G$12,MATCH($B7,'Rate Master'!$A$5:$A$12,0)),IF($C7="Individual/HUF",INDEX('Rate Master'!$E$5:$E$12,MATCH($B7,'Rate Master'!$A$5:$A$12,0)),INDEX('Rate Master'!$F$5:$F$12,MATCH($B7,'Rate Master'!$A$5:$A$12,0)))),IF($C7="Individual/HUF",INDEX('Rate Master'!$E$5:$E$12,MATCH($B7,'Rate Master'!$A$5:$A$12,0)),INDEX('Rate Master'!$F$5:$F$12,MATCH($B7,'Rate Master'!$A$5:$A$12,0)))))</f>
        <v/>
      </c>
      <c r="J7" s="14">
        <f t="shared" si="0"/>
        <v>0</v>
      </c>
    </row>
    <row r="8" spans="1:10" x14ac:dyDescent="0.35">
      <c r="A8" s="11"/>
      <c r="B8" s="11"/>
      <c r="C8" s="11"/>
      <c r="D8" s="11"/>
      <c r="E8" s="12"/>
      <c r="F8" s="12"/>
      <c r="G8" s="13" t="str">
        <f>IF($B8="","",IF(OR(AND(INDEX('Rate Master'!$C$5:$C$12,MATCH($B8,'Rate Master'!$A$5:$A$12,0))&gt;0,$E8&gt;INDEX('Rate Master'!$C$5:$C$12,MATCH($B8,'Rate Master'!$A$5:$A$12,0))),$F8&gt;INDEX('Rate Master'!$D$5:$D$12,MATCH($B8,'Rate Master'!$A$5:$A$12,0))),"Yes – deduct TDS","No – below threshold"))</f>
        <v/>
      </c>
      <c r="H8" s="14">
        <f>IF(LEFT($G8,3)&lt;&gt;"Yes",0,IF(INDEX('Rate Master'!$H$5:$H$12,MATCH($B8,'Rate Master'!$A$5:$A$12,0))="Excess",MAX(0,$F8-INDEX('Rate Master'!$D$5:$D$12,MATCH($B8,'Rate Master'!$A$5:$A$12,0))),$F8))</f>
        <v>0</v>
      </c>
      <c r="I8" s="15" t="str">
        <f>IF($B8="","",IF($D8="No",MAX(INDEX('Rate Master'!$G$5:$G$12,MATCH($B8,'Rate Master'!$A$5:$A$12,0)),IF($C8="Individual/HUF",INDEX('Rate Master'!$E$5:$E$12,MATCH($B8,'Rate Master'!$A$5:$A$12,0)),INDEX('Rate Master'!$F$5:$F$12,MATCH($B8,'Rate Master'!$A$5:$A$12,0)))),IF($C8="Individual/HUF",INDEX('Rate Master'!$E$5:$E$12,MATCH($B8,'Rate Master'!$A$5:$A$12,0)),INDEX('Rate Master'!$F$5:$F$12,MATCH($B8,'Rate Master'!$A$5:$A$12,0)))))</f>
        <v/>
      </c>
      <c r="J8" s="14">
        <f t="shared" si="0"/>
        <v>0</v>
      </c>
    </row>
    <row r="9" spans="1:10" x14ac:dyDescent="0.35">
      <c r="A9" s="11"/>
      <c r="B9" s="11"/>
      <c r="C9" s="11"/>
      <c r="D9" s="11"/>
      <c r="E9" s="12"/>
      <c r="F9" s="12"/>
      <c r="G9" s="13" t="str">
        <f>IF($B9="","",IF(OR(AND(INDEX('Rate Master'!$C$5:$C$12,MATCH($B9,'Rate Master'!$A$5:$A$12,0))&gt;0,$E9&gt;INDEX('Rate Master'!$C$5:$C$12,MATCH($B9,'Rate Master'!$A$5:$A$12,0))),$F9&gt;INDEX('Rate Master'!$D$5:$D$12,MATCH($B9,'Rate Master'!$A$5:$A$12,0))),"Yes – deduct TDS","No – below threshold"))</f>
        <v/>
      </c>
      <c r="H9" s="14">
        <f>IF(LEFT($G9,3)&lt;&gt;"Yes",0,IF(INDEX('Rate Master'!$H$5:$H$12,MATCH($B9,'Rate Master'!$A$5:$A$12,0))="Excess",MAX(0,$F9-INDEX('Rate Master'!$D$5:$D$12,MATCH($B9,'Rate Master'!$A$5:$A$12,0))),$F9))</f>
        <v>0</v>
      </c>
      <c r="I9" s="15" t="str">
        <f>IF($B9="","",IF($D9="No",MAX(INDEX('Rate Master'!$G$5:$G$12,MATCH($B9,'Rate Master'!$A$5:$A$12,0)),IF($C9="Individual/HUF",INDEX('Rate Master'!$E$5:$E$12,MATCH($B9,'Rate Master'!$A$5:$A$12,0)),INDEX('Rate Master'!$F$5:$F$12,MATCH($B9,'Rate Master'!$A$5:$A$12,0)))),IF($C9="Individual/HUF",INDEX('Rate Master'!$E$5:$E$12,MATCH($B9,'Rate Master'!$A$5:$A$12,0)),INDEX('Rate Master'!$F$5:$F$12,MATCH($B9,'Rate Master'!$A$5:$A$12,0)))))</f>
        <v/>
      </c>
      <c r="J9" s="14">
        <f t="shared" si="0"/>
        <v>0</v>
      </c>
    </row>
    <row r="10" spans="1:10" x14ac:dyDescent="0.35">
      <c r="A10" s="11"/>
      <c r="B10" s="11"/>
      <c r="C10" s="11"/>
      <c r="D10" s="11"/>
      <c r="E10" s="12"/>
      <c r="F10" s="12"/>
      <c r="G10" s="13" t="str">
        <f>IF($B10="","",IF(OR(AND(INDEX('Rate Master'!$C$5:$C$12,MATCH($B10,'Rate Master'!$A$5:$A$12,0))&gt;0,$E10&gt;INDEX('Rate Master'!$C$5:$C$12,MATCH($B10,'Rate Master'!$A$5:$A$12,0))),$F10&gt;INDEX('Rate Master'!$D$5:$D$12,MATCH($B10,'Rate Master'!$A$5:$A$12,0))),"Yes – deduct TDS","No – below threshold"))</f>
        <v/>
      </c>
      <c r="H10" s="14">
        <f>IF(LEFT($G10,3)&lt;&gt;"Yes",0,IF(INDEX('Rate Master'!$H$5:$H$12,MATCH($B10,'Rate Master'!$A$5:$A$12,0))="Excess",MAX(0,$F10-INDEX('Rate Master'!$D$5:$D$12,MATCH($B10,'Rate Master'!$A$5:$A$12,0))),$F10))</f>
        <v>0</v>
      </c>
      <c r="I10" s="15" t="str">
        <f>IF($B10="","",IF($D10="No",MAX(INDEX('Rate Master'!$G$5:$G$12,MATCH($B10,'Rate Master'!$A$5:$A$12,0)),IF($C10="Individual/HUF",INDEX('Rate Master'!$E$5:$E$12,MATCH($B10,'Rate Master'!$A$5:$A$12,0)),INDEX('Rate Master'!$F$5:$F$12,MATCH($B10,'Rate Master'!$A$5:$A$12,0)))),IF($C10="Individual/HUF",INDEX('Rate Master'!$E$5:$E$12,MATCH($B10,'Rate Master'!$A$5:$A$12,0)),INDEX('Rate Master'!$F$5:$F$12,MATCH($B10,'Rate Master'!$A$5:$A$12,0)))))</f>
        <v/>
      </c>
      <c r="J10" s="14">
        <f t="shared" si="0"/>
        <v>0</v>
      </c>
    </row>
    <row r="11" spans="1:10" x14ac:dyDescent="0.35">
      <c r="A11" s="11"/>
      <c r="B11" s="11"/>
      <c r="C11" s="11"/>
      <c r="D11" s="11"/>
      <c r="E11" s="12"/>
      <c r="F11" s="12"/>
      <c r="G11" s="13" t="str">
        <f>IF($B11="","",IF(OR(AND(INDEX('Rate Master'!$C$5:$C$12,MATCH($B11,'Rate Master'!$A$5:$A$12,0))&gt;0,$E11&gt;INDEX('Rate Master'!$C$5:$C$12,MATCH($B11,'Rate Master'!$A$5:$A$12,0))),$F11&gt;INDEX('Rate Master'!$D$5:$D$12,MATCH($B11,'Rate Master'!$A$5:$A$12,0))),"Yes – deduct TDS","No – below threshold"))</f>
        <v/>
      </c>
      <c r="H11" s="14">
        <f>IF(LEFT($G11,3)&lt;&gt;"Yes",0,IF(INDEX('Rate Master'!$H$5:$H$12,MATCH($B11,'Rate Master'!$A$5:$A$12,0))="Excess",MAX(0,$F11-INDEX('Rate Master'!$D$5:$D$12,MATCH($B11,'Rate Master'!$A$5:$A$12,0))),$F11))</f>
        <v>0</v>
      </c>
      <c r="I11" s="15" t="str">
        <f>IF($B11="","",IF($D11="No",MAX(INDEX('Rate Master'!$G$5:$G$12,MATCH($B11,'Rate Master'!$A$5:$A$12,0)),IF($C11="Individual/HUF",INDEX('Rate Master'!$E$5:$E$12,MATCH($B11,'Rate Master'!$A$5:$A$12,0)),INDEX('Rate Master'!$F$5:$F$12,MATCH($B11,'Rate Master'!$A$5:$A$12,0)))),IF($C11="Individual/HUF",INDEX('Rate Master'!$E$5:$E$12,MATCH($B11,'Rate Master'!$A$5:$A$12,0)),INDEX('Rate Master'!$F$5:$F$12,MATCH($B11,'Rate Master'!$A$5:$A$12,0)))))</f>
        <v/>
      </c>
      <c r="J11" s="14">
        <f t="shared" si="0"/>
        <v>0</v>
      </c>
    </row>
    <row r="12" spans="1:10" x14ac:dyDescent="0.35">
      <c r="A12" s="11"/>
      <c r="B12" s="11"/>
      <c r="C12" s="11"/>
      <c r="D12" s="11"/>
      <c r="E12" s="12"/>
      <c r="F12" s="12"/>
      <c r="G12" s="13" t="str">
        <f>IF($B12="","",IF(OR(AND(INDEX('Rate Master'!$C$5:$C$12,MATCH($B12,'Rate Master'!$A$5:$A$12,0))&gt;0,$E12&gt;INDEX('Rate Master'!$C$5:$C$12,MATCH($B12,'Rate Master'!$A$5:$A$12,0))),$F12&gt;INDEX('Rate Master'!$D$5:$D$12,MATCH($B12,'Rate Master'!$A$5:$A$12,0))),"Yes – deduct TDS","No – below threshold"))</f>
        <v/>
      </c>
      <c r="H12" s="14">
        <f>IF(LEFT($G12,3)&lt;&gt;"Yes",0,IF(INDEX('Rate Master'!$H$5:$H$12,MATCH($B12,'Rate Master'!$A$5:$A$12,0))="Excess",MAX(0,$F12-INDEX('Rate Master'!$D$5:$D$12,MATCH($B12,'Rate Master'!$A$5:$A$12,0))),$F12))</f>
        <v>0</v>
      </c>
      <c r="I12" s="15" t="str">
        <f>IF($B12="","",IF($D12="No",MAX(INDEX('Rate Master'!$G$5:$G$12,MATCH($B12,'Rate Master'!$A$5:$A$12,0)),IF($C12="Individual/HUF",INDEX('Rate Master'!$E$5:$E$12,MATCH($B12,'Rate Master'!$A$5:$A$12,0)),INDEX('Rate Master'!$F$5:$F$12,MATCH($B12,'Rate Master'!$A$5:$A$12,0)))),IF($C12="Individual/HUF",INDEX('Rate Master'!$E$5:$E$12,MATCH($B12,'Rate Master'!$A$5:$A$12,0)),INDEX('Rate Master'!$F$5:$F$12,MATCH($B12,'Rate Master'!$A$5:$A$12,0)))))</f>
        <v/>
      </c>
      <c r="J12" s="14">
        <f t="shared" si="0"/>
        <v>0</v>
      </c>
    </row>
    <row r="13" spans="1:10" x14ac:dyDescent="0.35">
      <c r="A13" s="11"/>
      <c r="B13" s="11"/>
      <c r="C13" s="11"/>
      <c r="D13" s="11"/>
      <c r="E13" s="12"/>
      <c r="F13" s="12"/>
      <c r="G13" s="13" t="str">
        <f>IF($B13="","",IF(OR(AND(INDEX('Rate Master'!$C$5:$C$12,MATCH($B13,'Rate Master'!$A$5:$A$12,0))&gt;0,$E13&gt;INDEX('Rate Master'!$C$5:$C$12,MATCH($B13,'Rate Master'!$A$5:$A$12,0))),$F13&gt;INDEX('Rate Master'!$D$5:$D$12,MATCH($B13,'Rate Master'!$A$5:$A$12,0))),"Yes – deduct TDS","No – below threshold"))</f>
        <v/>
      </c>
      <c r="H13" s="14">
        <f>IF(LEFT($G13,3)&lt;&gt;"Yes",0,IF(INDEX('Rate Master'!$H$5:$H$12,MATCH($B13,'Rate Master'!$A$5:$A$12,0))="Excess",MAX(0,$F13-INDEX('Rate Master'!$D$5:$D$12,MATCH($B13,'Rate Master'!$A$5:$A$12,0))),$F13))</f>
        <v>0</v>
      </c>
      <c r="I13" s="15" t="str">
        <f>IF($B13="","",IF($D13="No",MAX(INDEX('Rate Master'!$G$5:$G$12,MATCH($B13,'Rate Master'!$A$5:$A$12,0)),IF($C13="Individual/HUF",INDEX('Rate Master'!$E$5:$E$12,MATCH($B13,'Rate Master'!$A$5:$A$12,0)),INDEX('Rate Master'!$F$5:$F$12,MATCH($B13,'Rate Master'!$A$5:$A$12,0)))),IF($C13="Individual/HUF",INDEX('Rate Master'!$E$5:$E$12,MATCH($B13,'Rate Master'!$A$5:$A$12,0)),INDEX('Rate Master'!$F$5:$F$12,MATCH($B13,'Rate Master'!$A$5:$A$12,0)))))</f>
        <v/>
      </c>
      <c r="J13" s="14">
        <f t="shared" si="0"/>
        <v>0</v>
      </c>
    </row>
    <row r="14" spans="1:10" x14ac:dyDescent="0.35">
      <c r="A14" s="11"/>
      <c r="B14" s="11"/>
      <c r="C14" s="11"/>
      <c r="D14" s="11"/>
      <c r="E14" s="12"/>
      <c r="F14" s="12"/>
      <c r="G14" s="13" t="str">
        <f>IF($B14="","",IF(OR(AND(INDEX('Rate Master'!$C$5:$C$12,MATCH($B14,'Rate Master'!$A$5:$A$12,0))&gt;0,$E14&gt;INDEX('Rate Master'!$C$5:$C$12,MATCH($B14,'Rate Master'!$A$5:$A$12,0))),$F14&gt;INDEX('Rate Master'!$D$5:$D$12,MATCH($B14,'Rate Master'!$A$5:$A$12,0))),"Yes – deduct TDS","No – below threshold"))</f>
        <v/>
      </c>
      <c r="H14" s="14">
        <f>IF(LEFT($G14,3)&lt;&gt;"Yes",0,IF(INDEX('Rate Master'!$H$5:$H$12,MATCH($B14,'Rate Master'!$A$5:$A$12,0))="Excess",MAX(0,$F14-INDEX('Rate Master'!$D$5:$D$12,MATCH($B14,'Rate Master'!$A$5:$A$12,0))),$F14))</f>
        <v>0</v>
      </c>
      <c r="I14" s="15" t="str">
        <f>IF($B14="","",IF($D14="No",MAX(INDEX('Rate Master'!$G$5:$G$12,MATCH($B14,'Rate Master'!$A$5:$A$12,0)),IF($C14="Individual/HUF",INDEX('Rate Master'!$E$5:$E$12,MATCH($B14,'Rate Master'!$A$5:$A$12,0)),INDEX('Rate Master'!$F$5:$F$12,MATCH($B14,'Rate Master'!$A$5:$A$12,0)))),IF($C14="Individual/HUF",INDEX('Rate Master'!$E$5:$E$12,MATCH($B14,'Rate Master'!$A$5:$A$12,0)),INDEX('Rate Master'!$F$5:$F$12,MATCH($B14,'Rate Master'!$A$5:$A$12,0)))))</f>
        <v/>
      </c>
      <c r="J14" s="14">
        <f t="shared" si="0"/>
        <v>0</v>
      </c>
    </row>
    <row r="15" spans="1:10" x14ac:dyDescent="0.35">
      <c r="A15" s="11"/>
      <c r="B15" s="11"/>
      <c r="C15" s="11"/>
      <c r="D15" s="11"/>
      <c r="E15" s="12"/>
      <c r="F15" s="12"/>
      <c r="G15" s="13" t="str">
        <f>IF($B15="","",IF(OR(AND(INDEX('Rate Master'!$C$5:$C$12,MATCH($B15,'Rate Master'!$A$5:$A$12,0))&gt;0,$E15&gt;INDEX('Rate Master'!$C$5:$C$12,MATCH($B15,'Rate Master'!$A$5:$A$12,0))),$F15&gt;INDEX('Rate Master'!$D$5:$D$12,MATCH($B15,'Rate Master'!$A$5:$A$12,0))),"Yes – deduct TDS","No – below threshold"))</f>
        <v/>
      </c>
      <c r="H15" s="14">
        <f>IF(LEFT($G15,3)&lt;&gt;"Yes",0,IF(INDEX('Rate Master'!$H$5:$H$12,MATCH($B15,'Rate Master'!$A$5:$A$12,0))="Excess",MAX(0,$F15-INDEX('Rate Master'!$D$5:$D$12,MATCH($B15,'Rate Master'!$A$5:$A$12,0))),$F15))</f>
        <v>0</v>
      </c>
      <c r="I15" s="15" t="str">
        <f>IF($B15="","",IF($D15="No",MAX(INDEX('Rate Master'!$G$5:$G$12,MATCH($B15,'Rate Master'!$A$5:$A$12,0)),IF($C15="Individual/HUF",INDEX('Rate Master'!$E$5:$E$12,MATCH($B15,'Rate Master'!$A$5:$A$12,0)),INDEX('Rate Master'!$F$5:$F$12,MATCH($B15,'Rate Master'!$A$5:$A$12,0)))),IF($C15="Individual/HUF",INDEX('Rate Master'!$E$5:$E$12,MATCH($B15,'Rate Master'!$A$5:$A$12,0)),INDEX('Rate Master'!$F$5:$F$12,MATCH($B15,'Rate Master'!$A$5:$A$12,0)))))</f>
        <v/>
      </c>
      <c r="J15" s="14">
        <f t="shared" si="0"/>
        <v>0</v>
      </c>
    </row>
    <row r="16" spans="1:10" x14ac:dyDescent="0.35">
      <c r="A16" s="11"/>
      <c r="B16" s="11"/>
      <c r="C16" s="11"/>
      <c r="D16" s="11"/>
      <c r="E16" s="12"/>
      <c r="F16" s="12"/>
      <c r="G16" s="13" t="str">
        <f>IF($B16="","",IF(OR(AND(INDEX('Rate Master'!$C$5:$C$12,MATCH($B16,'Rate Master'!$A$5:$A$12,0))&gt;0,$E16&gt;INDEX('Rate Master'!$C$5:$C$12,MATCH($B16,'Rate Master'!$A$5:$A$12,0))),$F16&gt;INDEX('Rate Master'!$D$5:$D$12,MATCH($B16,'Rate Master'!$A$5:$A$12,0))),"Yes – deduct TDS","No – below threshold"))</f>
        <v/>
      </c>
      <c r="H16" s="14">
        <f>IF(LEFT($G16,3)&lt;&gt;"Yes",0,IF(INDEX('Rate Master'!$H$5:$H$12,MATCH($B16,'Rate Master'!$A$5:$A$12,0))="Excess",MAX(0,$F16-INDEX('Rate Master'!$D$5:$D$12,MATCH($B16,'Rate Master'!$A$5:$A$12,0))),$F16))</f>
        <v>0</v>
      </c>
      <c r="I16" s="15" t="str">
        <f>IF($B16="","",IF($D16="No",MAX(INDEX('Rate Master'!$G$5:$G$12,MATCH($B16,'Rate Master'!$A$5:$A$12,0)),IF($C16="Individual/HUF",INDEX('Rate Master'!$E$5:$E$12,MATCH($B16,'Rate Master'!$A$5:$A$12,0)),INDEX('Rate Master'!$F$5:$F$12,MATCH($B16,'Rate Master'!$A$5:$A$12,0)))),IF($C16="Individual/HUF",INDEX('Rate Master'!$E$5:$E$12,MATCH($B16,'Rate Master'!$A$5:$A$12,0)),INDEX('Rate Master'!$F$5:$F$12,MATCH($B16,'Rate Master'!$A$5:$A$12,0)))))</f>
        <v/>
      </c>
      <c r="J16" s="14">
        <f t="shared" si="0"/>
        <v>0</v>
      </c>
    </row>
    <row r="17" spans="1:10" x14ac:dyDescent="0.35">
      <c r="A17" s="11"/>
      <c r="B17" s="11"/>
      <c r="C17" s="11"/>
      <c r="D17" s="11"/>
      <c r="E17" s="12"/>
      <c r="F17" s="12"/>
      <c r="G17" s="13" t="str">
        <f>IF($B17="","",IF(OR(AND(INDEX('Rate Master'!$C$5:$C$12,MATCH($B17,'Rate Master'!$A$5:$A$12,0))&gt;0,$E17&gt;INDEX('Rate Master'!$C$5:$C$12,MATCH($B17,'Rate Master'!$A$5:$A$12,0))),$F17&gt;INDEX('Rate Master'!$D$5:$D$12,MATCH($B17,'Rate Master'!$A$5:$A$12,0))),"Yes – deduct TDS","No – below threshold"))</f>
        <v/>
      </c>
      <c r="H17" s="14">
        <f>IF(LEFT($G17,3)&lt;&gt;"Yes",0,IF(INDEX('Rate Master'!$H$5:$H$12,MATCH($B17,'Rate Master'!$A$5:$A$12,0))="Excess",MAX(0,$F17-INDEX('Rate Master'!$D$5:$D$12,MATCH($B17,'Rate Master'!$A$5:$A$12,0))),$F17))</f>
        <v>0</v>
      </c>
      <c r="I17" s="15" t="str">
        <f>IF($B17="","",IF($D17="No",MAX(INDEX('Rate Master'!$G$5:$G$12,MATCH($B17,'Rate Master'!$A$5:$A$12,0)),IF($C17="Individual/HUF",INDEX('Rate Master'!$E$5:$E$12,MATCH($B17,'Rate Master'!$A$5:$A$12,0)),INDEX('Rate Master'!$F$5:$F$12,MATCH($B17,'Rate Master'!$A$5:$A$12,0)))),IF($C17="Individual/HUF",INDEX('Rate Master'!$E$5:$E$12,MATCH($B17,'Rate Master'!$A$5:$A$12,0)),INDEX('Rate Master'!$F$5:$F$12,MATCH($B17,'Rate Master'!$A$5:$A$12,0)))))</f>
        <v/>
      </c>
      <c r="J17" s="14">
        <f t="shared" si="0"/>
        <v>0</v>
      </c>
    </row>
    <row r="18" spans="1:10" x14ac:dyDescent="0.35">
      <c r="A18" s="11"/>
      <c r="B18" s="11"/>
      <c r="C18" s="11"/>
      <c r="D18" s="11"/>
      <c r="E18" s="12"/>
      <c r="F18" s="12"/>
      <c r="G18" s="13" t="str">
        <f>IF($B18="","",IF(OR(AND(INDEX('Rate Master'!$C$5:$C$12,MATCH($B18,'Rate Master'!$A$5:$A$12,0))&gt;0,$E18&gt;INDEX('Rate Master'!$C$5:$C$12,MATCH($B18,'Rate Master'!$A$5:$A$12,0))),$F18&gt;INDEX('Rate Master'!$D$5:$D$12,MATCH($B18,'Rate Master'!$A$5:$A$12,0))),"Yes – deduct TDS","No – below threshold"))</f>
        <v/>
      </c>
      <c r="H18" s="14">
        <f>IF(LEFT($G18,3)&lt;&gt;"Yes",0,IF(INDEX('Rate Master'!$H$5:$H$12,MATCH($B18,'Rate Master'!$A$5:$A$12,0))="Excess",MAX(0,$F18-INDEX('Rate Master'!$D$5:$D$12,MATCH($B18,'Rate Master'!$A$5:$A$12,0))),$F18))</f>
        <v>0</v>
      </c>
      <c r="I18" s="15" t="str">
        <f>IF($B18="","",IF($D18="No",MAX(INDEX('Rate Master'!$G$5:$G$12,MATCH($B18,'Rate Master'!$A$5:$A$12,0)),IF($C18="Individual/HUF",INDEX('Rate Master'!$E$5:$E$12,MATCH($B18,'Rate Master'!$A$5:$A$12,0)),INDEX('Rate Master'!$F$5:$F$12,MATCH($B18,'Rate Master'!$A$5:$A$12,0)))),IF($C18="Individual/HUF",INDEX('Rate Master'!$E$5:$E$12,MATCH($B18,'Rate Master'!$A$5:$A$12,0)),INDEX('Rate Master'!$F$5:$F$12,MATCH($B18,'Rate Master'!$A$5:$A$12,0)))))</f>
        <v/>
      </c>
      <c r="J18" s="14">
        <f t="shared" si="0"/>
        <v>0</v>
      </c>
    </row>
    <row r="19" spans="1:10" x14ac:dyDescent="0.35">
      <c r="A19" s="11"/>
      <c r="B19" s="11"/>
      <c r="C19" s="11"/>
      <c r="D19" s="11"/>
      <c r="E19" s="12"/>
      <c r="F19" s="12"/>
      <c r="G19" s="13" t="str">
        <f>IF($B19="","",IF(OR(AND(INDEX('Rate Master'!$C$5:$C$12,MATCH($B19,'Rate Master'!$A$5:$A$12,0))&gt;0,$E19&gt;INDEX('Rate Master'!$C$5:$C$12,MATCH($B19,'Rate Master'!$A$5:$A$12,0))),$F19&gt;INDEX('Rate Master'!$D$5:$D$12,MATCH($B19,'Rate Master'!$A$5:$A$12,0))),"Yes – deduct TDS","No – below threshold"))</f>
        <v/>
      </c>
      <c r="H19" s="14">
        <f>IF(LEFT($G19,3)&lt;&gt;"Yes",0,IF(INDEX('Rate Master'!$H$5:$H$12,MATCH($B19,'Rate Master'!$A$5:$A$12,0))="Excess",MAX(0,$F19-INDEX('Rate Master'!$D$5:$D$12,MATCH($B19,'Rate Master'!$A$5:$A$12,0))),$F19))</f>
        <v>0</v>
      </c>
      <c r="I19" s="15" t="str">
        <f>IF($B19="","",IF($D19="No",MAX(INDEX('Rate Master'!$G$5:$G$12,MATCH($B19,'Rate Master'!$A$5:$A$12,0)),IF($C19="Individual/HUF",INDEX('Rate Master'!$E$5:$E$12,MATCH($B19,'Rate Master'!$A$5:$A$12,0)),INDEX('Rate Master'!$F$5:$F$12,MATCH($B19,'Rate Master'!$A$5:$A$12,0)))),IF($C19="Individual/HUF",INDEX('Rate Master'!$E$5:$E$12,MATCH($B19,'Rate Master'!$A$5:$A$12,0)),INDEX('Rate Master'!$F$5:$F$12,MATCH($B19,'Rate Master'!$A$5:$A$12,0)))))</f>
        <v/>
      </c>
      <c r="J19" s="14">
        <f t="shared" si="0"/>
        <v>0</v>
      </c>
    </row>
    <row r="20" spans="1:10" x14ac:dyDescent="0.35">
      <c r="A20" s="11"/>
      <c r="B20" s="11"/>
      <c r="C20" s="11"/>
      <c r="D20" s="11"/>
      <c r="E20" s="12"/>
      <c r="F20" s="12"/>
      <c r="G20" s="13" t="str">
        <f>IF($B20="","",IF(OR(AND(INDEX('Rate Master'!$C$5:$C$12,MATCH($B20,'Rate Master'!$A$5:$A$12,0))&gt;0,$E20&gt;INDEX('Rate Master'!$C$5:$C$12,MATCH($B20,'Rate Master'!$A$5:$A$12,0))),$F20&gt;INDEX('Rate Master'!$D$5:$D$12,MATCH($B20,'Rate Master'!$A$5:$A$12,0))),"Yes – deduct TDS","No – below threshold"))</f>
        <v/>
      </c>
      <c r="H20" s="14">
        <f>IF(LEFT($G20,3)&lt;&gt;"Yes",0,IF(INDEX('Rate Master'!$H$5:$H$12,MATCH($B20,'Rate Master'!$A$5:$A$12,0))="Excess",MAX(0,$F20-INDEX('Rate Master'!$D$5:$D$12,MATCH($B20,'Rate Master'!$A$5:$A$12,0))),$F20))</f>
        <v>0</v>
      </c>
      <c r="I20" s="15" t="str">
        <f>IF($B20="","",IF($D20="No",MAX(INDEX('Rate Master'!$G$5:$G$12,MATCH($B20,'Rate Master'!$A$5:$A$12,0)),IF($C20="Individual/HUF",INDEX('Rate Master'!$E$5:$E$12,MATCH($B20,'Rate Master'!$A$5:$A$12,0)),INDEX('Rate Master'!$F$5:$F$12,MATCH($B20,'Rate Master'!$A$5:$A$12,0)))),IF($C20="Individual/HUF",INDEX('Rate Master'!$E$5:$E$12,MATCH($B20,'Rate Master'!$A$5:$A$12,0)),INDEX('Rate Master'!$F$5:$F$12,MATCH($B20,'Rate Master'!$A$5:$A$12,0)))))</f>
        <v/>
      </c>
      <c r="J20" s="14">
        <f t="shared" si="0"/>
        <v>0</v>
      </c>
    </row>
    <row r="21" spans="1:10" x14ac:dyDescent="0.35">
      <c r="A21" s="11"/>
      <c r="B21" s="11"/>
      <c r="C21" s="11"/>
      <c r="D21" s="11"/>
      <c r="E21" s="12"/>
      <c r="F21" s="12"/>
      <c r="G21" s="13" t="str">
        <f>IF($B21="","",IF(OR(AND(INDEX('Rate Master'!$C$5:$C$12,MATCH($B21,'Rate Master'!$A$5:$A$12,0))&gt;0,$E21&gt;INDEX('Rate Master'!$C$5:$C$12,MATCH($B21,'Rate Master'!$A$5:$A$12,0))),$F21&gt;INDEX('Rate Master'!$D$5:$D$12,MATCH($B21,'Rate Master'!$A$5:$A$12,0))),"Yes – deduct TDS","No – below threshold"))</f>
        <v/>
      </c>
      <c r="H21" s="14">
        <f>IF(LEFT($G21,3)&lt;&gt;"Yes",0,IF(INDEX('Rate Master'!$H$5:$H$12,MATCH($B21,'Rate Master'!$A$5:$A$12,0))="Excess",MAX(0,$F21-INDEX('Rate Master'!$D$5:$D$12,MATCH($B21,'Rate Master'!$A$5:$A$12,0))),$F21))</f>
        <v>0</v>
      </c>
      <c r="I21" s="15" t="str">
        <f>IF($B21="","",IF($D21="No",MAX(INDEX('Rate Master'!$G$5:$G$12,MATCH($B21,'Rate Master'!$A$5:$A$12,0)),IF($C21="Individual/HUF",INDEX('Rate Master'!$E$5:$E$12,MATCH($B21,'Rate Master'!$A$5:$A$12,0)),INDEX('Rate Master'!$F$5:$F$12,MATCH($B21,'Rate Master'!$A$5:$A$12,0)))),IF($C21="Individual/HUF",INDEX('Rate Master'!$E$5:$E$12,MATCH($B21,'Rate Master'!$A$5:$A$12,0)),INDEX('Rate Master'!$F$5:$F$12,MATCH($B21,'Rate Master'!$A$5:$A$12,0)))))</f>
        <v/>
      </c>
      <c r="J21" s="14">
        <f t="shared" si="0"/>
        <v>0</v>
      </c>
    </row>
    <row r="22" spans="1:10" x14ac:dyDescent="0.35">
      <c r="A22" s="11"/>
      <c r="B22" s="11"/>
      <c r="C22" s="11"/>
      <c r="D22" s="11"/>
      <c r="E22" s="12"/>
      <c r="F22" s="12"/>
      <c r="G22" s="13" t="str">
        <f>IF($B22="","",IF(OR(AND(INDEX('Rate Master'!$C$5:$C$12,MATCH($B22,'Rate Master'!$A$5:$A$12,0))&gt;0,$E22&gt;INDEX('Rate Master'!$C$5:$C$12,MATCH($B22,'Rate Master'!$A$5:$A$12,0))),$F22&gt;INDEX('Rate Master'!$D$5:$D$12,MATCH($B22,'Rate Master'!$A$5:$A$12,0))),"Yes – deduct TDS","No – below threshold"))</f>
        <v/>
      </c>
      <c r="H22" s="14">
        <f>IF(LEFT($G22,3)&lt;&gt;"Yes",0,IF(INDEX('Rate Master'!$H$5:$H$12,MATCH($B22,'Rate Master'!$A$5:$A$12,0))="Excess",MAX(0,$F22-INDEX('Rate Master'!$D$5:$D$12,MATCH($B22,'Rate Master'!$A$5:$A$12,0))),$F22))</f>
        <v>0</v>
      </c>
      <c r="I22" s="15" t="str">
        <f>IF($B22="","",IF($D22="No",MAX(INDEX('Rate Master'!$G$5:$G$12,MATCH($B22,'Rate Master'!$A$5:$A$12,0)),IF($C22="Individual/HUF",INDEX('Rate Master'!$E$5:$E$12,MATCH($B22,'Rate Master'!$A$5:$A$12,0)),INDEX('Rate Master'!$F$5:$F$12,MATCH($B22,'Rate Master'!$A$5:$A$12,0)))),IF($C22="Individual/HUF",INDEX('Rate Master'!$E$5:$E$12,MATCH($B22,'Rate Master'!$A$5:$A$12,0)),INDEX('Rate Master'!$F$5:$F$12,MATCH($B22,'Rate Master'!$A$5:$A$12,0)))))</f>
        <v/>
      </c>
      <c r="J22" s="14">
        <f t="shared" si="0"/>
        <v>0</v>
      </c>
    </row>
    <row r="23" spans="1:10" x14ac:dyDescent="0.35">
      <c r="A23" s="11"/>
      <c r="B23" s="11"/>
      <c r="C23" s="11"/>
      <c r="D23" s="11"/>
      <c r="E23" s="12"/>
      <c r="F23" s="12"/>
      <c r="G23" s="13" t="str">
        <f>IF($B23="","",IF(OR(AND(INDEX('Rate Master'!$C$5:$C$12,MATCH($B23,'Rate Master'!$A$5:$A$12,0))&gt;0,$E23&gt;INDEX('Rate Master'!$C$5:$C$12,MATCH($B23,'Rate Master'!$A$5:$A$12,0))),$F23&gt;INDEX('Rate Master'!$D$5:$D$12,MATCH($B23,'Rate Master'!$A$5:$A$12,0))),"Yes – deduct TDS","No – below threshold"))</f>
        <v/>
      </c>
      <c r="H23" s="14">
        <f>IF(LEFT($G23,3)&lt;&gt;"Yes",0,IF(INDEX('Rate Master'!$H$5:$H$12,MATCH($B23,'Rate Master'!$A$5:$A$12,0))="Excess",MAX(0,$F23-INDEX('Rate Master'!$D$5:$D$12,MATCH($B23,'Rate Master'!$A$5:$A$12,0))),$F23))</f>
        <v>0</v>
      </c>
      <c r="I23" s="15" t="str">
        <f>IF($B23="","",IF($D23="No",MAX(INDEX('Rate Master'!$G$5:$G$12,MATCH($B23,'Rate Master'!$A$5:$A$12,0)),IF($C23="Individual/HUF",INDEX('Rate Master'!$E$5:$E$12,MATCH($B23,'Rate Master'!$A$5:$A$12,0)),INDEX('Rate Master'!$F$5:$F$12,MATCH($B23,'Rate Master'!$A$5:$A$12,0)))),IF($C23="Individual/HUF",INDEX('Rate Master'!$E$5:$E$12,MATCH($B23,'Rate Master'!$A$5:$A$12,0)),INDEX('Rate Master'!$F$5:$F$12,MATCH($B23,'Rate Master'!$A$5:$A$12,0)))))</f>
        <v/>
      </c>
      <c r="J23" s="14">
        <f t="shared" si="0"/>
        <v>0</v>
      </c>
    </row>
    <row r="24" spans="1:10" x14ac:dyDescent="0.35">
      <c r="A24" s="11"/>
      <c r="B24" s="11"/>
      <c r="C24" s="11"/>
      <c r="D24" s="11"/>
      <c r="E24" s="12"/>
      <c r="F24" s="12"/>
      <c r="G24" s="13" t="str">
        <f>IF($B24="","",IF(OR(AND(INDEX('Rate Master'!$C$5:$C$12,MATCH($B24,'Rate Master'!$A$5:$A$12,0))&gt;0,$E24&gt;INDEX('Rate Master'!$C$5:$C$12,MATCH($B24,'Rate Master'!$A$5:$A$12,0))),$F24&gt;INDEX('Rate Master'!$D$5:$D$12,MATCH($B24,'Rate Master'!$A$5:$A$12,0))),"Yes – deduct TDS","No – below threshold"))</f>
        <v/>
      </c>
      <c r="H24" s="14">
        <f>IF(LEFT($G24,3)&lt;&gt;"Yes",0,IF(INDEX('Rate Master'!$H$5:$H$12,MATCH($B24,'Rate Master'!$A$5:$A$12,0))="Excess",MAX(0,$F24-INDEX('Rate Master'!$D$5:$D$12,MATCH($B24,'Rate Master'!$A$5:$A$12,0))),$F24))</f>
        <v>0</v>
      </c>
      <c r="I24" s="15" t="str">
        <f>IF($B24="","",IF($D24="No",MAX(INDEX('Rate Master'!$G$5:$G$12,MATCH($B24,'Rate Master'!$A$5:$A$12,0)),IF($C24="Individual/HUF",INDEX('Rate Master'!$E$5:$E$12,MATCH($B24,'Rate Master'!$A$5:$A$12,0)),INDEX('Rate Master'!$F$5:$F$12,MATCH($B24,'Rate Master'!$A$5:$A$12,0)))),IF($C24="Individual/HUF",INDEX('Rate Master'!$E$5:$E$12,MATCH($B24,'Rate Master'!$A$5:$A$12,0)),INDEX('Rate Master'!$F$5:$F$12,MATCH($B24,'Rate Master'!$A$5:$A$12,0)))))</f>
        <v/>
      </c>
      <c r="J24" s="14">
        <f t="shared" si="0"/>
        <v>0</v>
      </c>
    </row>
    <row r="25" spans="1:10" x14ac:dyDescent="0.35">
      <c r="A25" s="11"/>
      <c r="B25" s="11"/>
      <c r="C25" s="11"/>
      <c r="D25" s="11"/>
      <c r="E25" s="12"/>
      <c r="F25" s="12"/>
      <c r="G25" s="13" t="str">
        <f>IF($B25="","",IF(OR(AND(INDEX('Rate Master'!$C$5:$C$12,MATCH($B25,'Rate Master'!$A$5:$A$12,0))&gt;0,$E25&gt;INDEX('Rate Master'!$C$5:$C$12,MATCH($B25,'Rate Master'!$A$5:$A$12,0))),$F25&gt;INDEX('Rate Master'!$D$5:$D$12,MATCH($B25,'Rate Master'!$A$5:$A$12,0))),"Yes – deduct TDS","No – below threshold"))</f>
        <v/>
      </c>
      <c r="H25" s="14">
        <f>IF(LEFT($G25,3)&lt;&gt;"Yes",0,IF(INDEX('Rate Master'!$H$5:$H$12,MATCH($B25,'Rate Master'!$A$5:$A$12,0))="Excess",MAX(0,$F25-INDEX('Rate Master'!$D$5:$D$12,MATCH($B25,'Rate Master'!$A$5:$A$12,0))),$F25))</f>
        <v>0</v>
      </c>
      <c r="I25" s="15" t="str">
        <f>IF($B25="","",IF($D25="No",MAX(INDEX('Rate Master'!$G$5:$G$12,MATCH($B25,'Rate Master'!$A$5:$A$12,0)),IF($C25="Individual/HUF",INDEX('Rate Master'!$E$5:$E$12,MATCH($B25,'Rate Master'!$A$5:$A$12,0)),INDEX('Rate Master'!$F$5:$F$12,MATCH($B25,'Rate Master'!$A$5:$A$12,0)))),IF($C25="Individual/HUF",INDEX('Rate Master'!$E$5:$E$12,MATCH($B25,'Rate Master'!$A$5:$A$12,0)),INDEX('Rate Master'!$F$5:$F$12,MATCH($B25,'Rate Master'!$A$5:$A$12,0)))))</f>
        <v/>
      </c>
      <c r="J25" s="14">
        <f t="shared" si="0"/>
        <v>0</v>
      </c>
    </row>
    <row r="26" spans="1:10" x14ac:dyDescent="0.35">
      <c r="A26" s="11"/>
      <c r="B26" s="11"/>
      <c r="C26" s="11"/>
      <c r="D26" s="11"/>
      <c r="E26" s="12"/>
      <c r="F26" s="12"/>
      <c r="G26" s="13" t="str">
        <f>IF($B26="","",IF(OR(AND(INDEX('Rate Master'!$C$5:$C$12,MATCH($B26,'Rate Master'!$A$5:$A$12,0))&gt;0,$E26&gt;INDEX('Rate Master'!$C$5:$C$12,MATCH($B26,'Rate Master'!$A$5:$A$12,0))),$F26&gt;INDEX('Rate Master'!$D$5:$D$12,MATCH($B26,'Rate Master'!$A$5:$A$12,0))),"Yes – deduct TDS","No – below threshold"))</f>
        <v/>
      </c>
      <c r="H26" s="14">
        <f>IF(LEFT($G26,3)&lt;&gt;"Yes",0,IF(INDEX('Rate Master'!$H$5:$H$12,MATCH($B26,'Rate Master'!$A$5:$A$12,0))="Excess",MAX(0,$F26-INDEX('Rate Master'!$D$5:$D$12,MATCH($B26,'Rate Master'!$A$5:$A$12,0))),$F26))</f>
        <v>0</v>
      </c>
      <c r="I26" s="15" t="str">
        <f>IF($B26="","",IF($D26="No",MAX(INDEX('Rate Master'!$G$5:$G$12,MATCH($B26,'Rate Master'!$A$5:$A$12,0)),IF($C26="Individual/HUF",INDEX('Rate Master'!$E$5:$E$12,MATCH($B26,'Rate Master'!$A$5:$A$12,0)),INDEX('Rate Master'!$F$5:$F$12,MATCH($B26,'Rate Master'!$A$5:$A$12,0)))),IF($C26="Individual/HUF",INDEX('Rate Master'!$E$5:$E$12,MATCH($B26,'Rate Master'!$A$5:$A$12,0)),INDEX('Rate Master'!$F$5:$F$12,MATCH($B26,'Rate Master'!$A$5:$A$12,0)))))</f>
        <v/>
      </c>
      <c r="J26" s="14">
        <f t="shared" si="0"/>
        <v>0</v>
      </c>
    </row>
    <row r="27" spans="1:10" x14ac:dyDescent="0.35">
      <c r="A27" s="11"/>
      <c r="B27" s="11"/>
      <c r="C27" s="11"/>
      <c r="D27" s="11"/>
      <c r="E27" s="12"/>
      <c r="F27" s="12"/>
      <c r="G27" s="13" t="str">
        <f>IF($B27="","",IF(OR(AND(INDEX('Rate Master'!$C$5:$C$12,MATCH($B27,'Rate Master'!$A$5:$A$12,0))&gt;0,$E27&gt;INDEX('Rate Master'!$C$5:$C$12,MATCH($B27,'Rate Master'!$A$5:$A$12,0))),$F27&gt;INDEX('Rate Master'!$D$5:$D$12,MATCH($B27,'Rate Master'!$A$5:$A$12,0))),"Yes – deduct TDS","No – below threshold"))</f>
        <v/>
      </c>
      <c r="H27" s="14">
        <f>IF(LEFT($G27,3)&lt;&gt;"Yes",0,IF(INDEX('Rate Master'!$H$5:$H$12,MATCH($B27,'Rate Master'!$A$5:$A$12,0))="Excess",MAX(0,$F27-INDEX('Rate Master'!$D$5:$D$12,MATCH($B27,'Rate Master'!$A$5:$A$12,0))),$F27))</f>
        <v>0</v>
      </c>
      <c r="I27" s="15" t="str">
        <f>IF($B27="","",IF($D27="No",MAX(INDEX('Rate Master'!$G$5:$G$12,MATCH($B27,'Rate Master'!$A$5:$A$12,0)),IF($C27="Individual/HUF",INDEX('Rate Master'!$E$5:$E$12,MATCH($B27,'Rate Master'!$A$5:$A$12,0)),INDEX('Rate Master'!$F$5:$F$12,MATCH($B27,'Rate Master'!$A$5:$A$12,0)))),IF($C27="Individual/HUF",INDEX('Rate Master'!$E$5:$E$12,MATCH($B27,'Rate Master'!$A$5:$A$12,0)),INDEX('Rate Master'!$F$5:$F$12,MATCH($B27,'Rate Master'!$A$5:$A$12,0)))))</f>
        <v/>
      </c>
      <c r="J27" s="14">
        <f t="shared" si="0"/>
        <v>0</v>
      </c>
    </row>
    <row r="28" spans="1:10" x14ac:dyDescent="0.35">
      <c r="A28" s="11"/>
      <c r="B28" s="11"/>
      <c r="C28" s="11"/>
      <c r="D28" s="11"/>
      <c r="E28" s="12"/>
      <c r="F28" s="12"/>
      <c r="G28" s="13" t="str">
        <f>IF($B28="","",IF(OR(AND(INDEX('Rate Master'!$C$5:$C$12,MATCH($B28,'Rate Master'!$A$5:$A$12,0))&gt;0,$E28&gt;INDEX('Rate Master'!$C$5:$C$12,MATCH($B28,'Rate Master'!$A$5:$A$12,0))),$F28&gt;INDEX('Rate Master'!$D$5:$D$12,MATCH($B28,'Rate Master'!$A$5:$A$12,0))),"Yes – deduct TDS","No – below threshold"))</f>
        <v/>
      </c>
      <c r="H28" s="14">
        <f>IF(LEFT($G28,3)&lt;&gt;"Yes",0,IF(INDEX('Rate Master'!$H$5:$H$12,MATCH($B28,'Rate Master'!$A$5:$A$12,0))="Excess",MAX(0,$F28-INDEX('Rate Master'!$D$5:$D$12,MATCH($B28,'Rate Master'!$A$5:$A$12,0))),$F28))</f>
        <v>0</v>
      </c>
      <c r="I28" s="15" t="str">
        <f>IF($B28="","",IF($D28="No",MAX(INDEX('Rate Master'!$G$5:$G$12,MATCH($B28,'Rate Master'!$A$5:$A$12,0)),IF($C28="Individual/HUF",INDEX('Rate Master'!$E$5:$E$12,MATCH($B28,'Rate Master'!$A$5:$A$12,0)),INDEX('Rate Master'!$F$5:$F$12,MATCH($B28,'Rate Master'!$A$5:$A$12,0)))),IF($C28="Individual/HUF",INDEX('Rate Master'!$E$5:$E$12,MATCH($B28,'Rate Master'!$A$5:$A$12,0)),INDEX('Rate Master'!$F$5:$F$12,MATCH($B28,'Rate Master'!$A$5:$A$12,0)))))</f>
        <v/>
      </c>
      <c r="J28" s="14">
        <f t="shared" si="0"/>
        <v>0</v>
      </c>
    </row>
    <row r="29" spans="1:10" x14ac:dyDescent="0.35">
      <c r="A29" s="11"/>
      <c r="B29" s="11"/>
      <c r="C29" s="11"/>
      <c r="D29" s="11"/>
      <c r="E29" s="12"/>
      <c r="F29" s="12"/>
      <c r="G29" s="13" t="str">
        <f>IF($B29="","",IF(OR(AND(INDEX('Rate Master'!$C$5:$C$12,MATCH($B29,'Rate Master'!$A$5:$A$12,0))&gt;0,$E29&gt;INDEX('Rate Master'!$C$5:$C$12,MATCH($B29,'Rate Master'!$A$5:$A$12,0))),$F29&gt;INDEX('Rate Master'!$D$5:$D$12,MATCH($B29,'Rate Master'!$A$5:$A$12,0))),"Yes – deduct TDS","No – below threshold"))</f>
        <v/>
      </c>
      <c r="H29" s="14">
        <f>IF(LEFT($G29,3)&lt;&gt;"Yes",0,IF(INDEX('Rate Master'!$H$5:$H$12,MATCH($B29,'Rate Master'!$A$5:$A$12,0))="Excess",MAX(0,$F29-INDEX('Rate Master'!$D$5:$D$12,MATCH($B29,'Rate Master'!$A$5:$A$12,0))),$F29))</f>
        <v>0</v>
      </c>
      <c r="I29" s="15" t="str">
        <f>IF($B29="","",IF($D29="No",MAX(INDEX('Rate Master'!$G$5:$G$12,MATCH($B29,'Rate Master'!$A$5:$A$12,0)),IF($C29="Individual/HUF",INDEX('Rate Master'!$E$5:$E$12,MATCH($B29,'Rate Master'!$A$5:$A$12,0)),INDEX('Rate Master'!$F$5:$F$12,MATCH($B29,'Rate Master'!$A$5:$A$12,0)))),IF($C29="Individual/HUF",INDEX('Rate Master'!$E$5:$E$12,MATCH($B29,'Rate Master'!$A$5:$A$12,0)),INDEX('Rate Master'!$F$5:$F$12,MATCH($B29,'Rate Master'!$A$5:$A$12,0)))))</f>
        <v/>
      </c>
      <c r="J29" s="14">
        <f t="shared" si="0"/>
        <v>0</v>
      </c>
    </row>
    <row r="30" spans="1:10" x14ac:dyDescent="0.35">
      <c r="A30" s="11"/>
      <c r="B30" s="11"/>
      <c r="C30" s="11"/>
      <c r="D30" s="11"/>
      <c r="E30" s="12"/>
      <c r="F30" s="12"/>
      <c r="G30" s="13" t="str">
        <f>IF($B30="","",IF(OR(AND(INDEX('Rate Master'!$C$5:$C$12,MATCH($B30,'Rate Master'!$A$5:$A$12,0))&gt;0,$E30&gt;INDEX('Rate Master'!$C$5:$C$12,MATCH($B30,'Rate Master'!$A$5:$A$12,0))),$F30&gt;INDEX('Rate Master'!$D$5:$D$12,MATCH($B30,'Rate Master'!$A$5:$A$12,0))),"Yes – deduct TDS","No – below threshold"))</f>
        <v/>
      </c>
      <c r="H30" s="14">
        <f>IF(LEFT($G30,3)&lt;&gt;"Yes",0,IF(INDEX('Rate Master'!$H$5:$H$12,MATCH($B30,'Rate Master'!$A$5:$A$12,0))="Excess",MAX(0,$F30-INDEX('Rate Master'!$D$5:$D$12,MATCH($B30,'Rate Master'!$A$5:$A$12,0))),$F30))</f>
        <v>0</v>
      </c>
      <c r="I30" s="15" t="str">
        <f>IF($B30="","",IF($D30="No",MAX(INDEX('Rate Master'!$G$5:$G$12,MATCH($B30,'Rate Master'!$A$5:$A$12,0)),IF($C30="Individual/HUF",INDEX('Rate Master'!$E$5:$E$12,MATCH($B30,'Rate Master'!$A$5:$A$12,0)),INDEX('Rate Master'!$F$5:$F$12,MATCH($B30,'Rate Master'!$A$5:$A$12,0)))),IF($C30="Individual/HUF",INDEX('Rate Master'!$E$5:$E$12,MATCH($B30,'Rate Master'!$A$5:$A$12,0)),INDEX('Rate Master'!$F$5:$F$12,MATCH($B30,'Rate Master'!$A$5:$A$12,0)))))</f>
        <v/>
      </c>
      <c r="J30" s="14">
        <f t="shared" si="0"/>
        <v>0</v>
      </c>
    </row>
    <row r="31" spans="1:10" x14ac:dyDescent="0.35">
      <c r="A31" s="11"/>
      <c r="B31" s="11"/>
      <c r="C31" s="11"/>
      <c r="D31" s="11"/>
      <c r="E31" s="12"/>
      <c r="F31" s="12"/>
      <c r="G31" s="13" t="str">
        <f>IF($B31="","",IF(OR(AND(INDEX('Rate Master'!$C$5:$C$12,MATCH($B31,'Rate Master'!$A$5:$A$12,0))&gt;0,$E31&gt;INDEX('Rate Master'!$C$5:$C$12,MATCH($B31,'Rate Master'!$A$5:$A$12,0))),$F31&gt;INDEX('Rate Master'!$D$5:$D$12,MATCH($B31,'Rate Master'!$A$5:$A$12,0))),"Yes – deduct TDS","No – below threshold"))</f>
        <v/>
      </c>
      <c r="H31" s="14">
        <f>IF(LEFT($G31,3)&lt;&gt;"Yes",0,IF(INDEX('Rate Master'!$H$5:$H$12,MATCH($B31,'Rate Master'!$A$5:$A$12,0))="Excess",MAX(0,$F31-INDEX('Rate Master'!$D$5:$D$12,MATCH($B31,'Rate Master'!$A$5:$A$12,0))),$F31))</f>
        <v>0</v>
      </c>
      <c r="I31" s="15" t="str">
        <f>IF($B31="","",IF($D31="No",MAX(INDEX('Rate Master'!$G$5:$G$12,MATCH($B31,'Rate Master'!$A$5:$A$12,0)),IF($C31="Individual/HUF",INDEX('Rate Master'!$E$5:$E$12,MATCH($B31,'Rate Master'!$A$5:$A$12,0)),INDEX('Rate Master'!$F$5:$F$12,MATCH($B31,'Rate Master'!$A$5:$A$12,0)))),IF($C31="Individual/HUF",INDEX('Rate Master'!$E$5:$E$12,MATCH($B31,'Rate Master'!$A$5:$A$12,0)),INDEX('Rate Master'!$F$5:$F$12,MATCH($B31,'Rate Master'!$A$5:$A$12,0)))))</f>
        <v/>
      </c>
      <c r="J31" s="14">
        <f t="shared" si="0"/>
        <v>0</v>
      </c>
    </row>
    <row r="32" spans="1:10" x14ac:dyDescent="0.35">
      <c r="A32" s="11"/>
      <c r="B32" s="11"/>
      <c r="C32" s="11"/>
      <c r="D32" s="11"/>
      <c r="E32" s="12"/>
      <c r="F32" s="12"/>
      <c r="G32" s="13" t="str">
        <f>IF($B32="","",IF(OR(AND(INDEX('Rate Master'!$C$5:$C$12,MATCH($B32,'Rate Master'!$A$5:$A$12,0))&gt;0,$E32&gt;INDEX('Rate Master'!$C$5:$C$12,MATCH($B32,'Rate Master'!$A$5:$A$12,0))),$F32&gt;INDEX('Rate Master'!$D$5:$D$12,MATCH($B32,'Rate Master'!$A$5:$A$12,0))),"Yes – deduct TDS","No – below threshold"))</f>
        <v/>
      </c>
      <c r="H32" s="14">
        <f>IF(LEFT($G32,3)&lt;&gt;"Yes",0,IF(INDEX('Rate Master'!$H$5:$H$12,MATCH($B32,'Rate Master'!$A$5:$A$12,0))="Excess",MAX(0,$F32-INDEX('Rate Master'!$D$5:$D$12,MATCH($B32,'Rate Master'!$A$5:$A$12,0))),$F32))</f>
        <v>0</v>
      </c>
      <c r="I32" s="15" t="str">
        <f>IF($B32="","",IF($D32="No",MAX(INDEX('Rate Master'!$G$5:$G$12,MATCH($B32,'Rate Master'!$A$5:$A$12,0)),IF($C32="Individual/HUF",INDEX('Rate Master'!$E$5:$E$12,MATCH($B32,'Rate Master'!$A$5:$A$12,0)),INDEX('Rate Master'!$F$5:$F$12,MATCH($B32,'Rate Master'!$A$5:$A$12,0)))),IF($C32="Individual/HUF",INDEX('Rate Master'!$E$5:$E$12,MATCH($B32,'Rate Master'!$A$5:$A$12,0)),INDEX('Rate Master'!$F$5:$F$12,MATCH($B32,'Rate Master'!$A$5:$A$12,0)))))</f>
        <v/>
      </c>
      <c r="J32" s="14">
        <f t="shared" si="0"/>
        <v>0</v>
      </c>
    </row>
    <row r="33" spans="1:10" x14ac:dyDescent="0.35">
      <c r="A33" s="11"/>
      <c r="B33" s="11"/>
      <c r="C33" s="11"/>
      <c r="D33" s="11"/>
      <c r="E33" s="12"/>
      <c r="F33" s="12"/>
      <c r="G33" s="13" t="str">
        <f>IF($B33="","",IF(OR(AND(INDEX('Rate Master'!$C$5:$C$12,MATCH($B33,'Rate Master'!$A$5:$A$12,0))&gt;0,$E33&gt;INDEX('Rate Master'!$C$5:$C$12,MATCH($B33,'Rate Master'!$A$5:$A$12,0))),$F33&gt;INDEX('Rate Master'!$D$5:$D$12,MATCH($B33,'Rate Master'!$A$5:$A$12,0))),"Yes – deduct TDS","No – below threshold"))</f>
        <v/>
      </c>
      <c r="H33" s="14">
        <f>IF(LEFT($G33,3)&lt;&gt;"Yes",0,IF(INDEX('Rate Master'!$H$5:$H$12,MATCH($B33,'Rate Master'!$A$5:$A$12,0))="Excess",MAX(0,$F33-INDEX('Rate Master'!$D$5:$D$12,MATCH($B33,'Rate Master'!$A$5:$A$12,0))),$F33))</f>
        <v>0</v>
      </c>
      <c r="I33" s="15" t="str">
        <f>IF($B33="","",IF($D33="No",MAX(INDEX('Rate Master'!$G$5:$G$12,MATCH($B33,'Rate Master'!$A$5:$A$12,0)),IF($C33="Individual/HUF",INDEX('Rate Master'!$E$5:$E$12,MATCH($B33,'Rate Master'!$A$5:$A$12,0)),INDEX('Rate Master'!$F$5:$F$12,MATCH($B33,'Rate Master'!$A$5:$A$12,0)))),IF($C33="Individual/HUF",INDEX('Rate Master'!$E$5:$E$12,MATCH($B33,'Rate Master'!$A$5:$A$12,0)),INDEX('Rate Master'!$F$5:$F$12,MATCH($B33,'Rate Master'!$A$5:$A$12,0)))))</f>
        <v/>
      </c>
      <c r="J33" s="14">
        <f t="shared" si="0"/>
        <v>0</v>
      </c>
    </row>
    <row r="34" spans="1:10" x14ac:dyDescent="0.35">
      <c r="A34" s="11"/>
      <c r="B34" s="11"/>
      <c r="C34" s="11"/>
      <c r="D34" s="11"/>
      <c r="E34" s="12"/>
      <c r="F34" s="12"/>
      <c r="G34" s="13" t="str">
        <f>IF($B34="","",IF(OR(AND(INDEX('Rate Master'!$C$5:$C$12,MATCH($B34,'Rate Master'!$A$5:$A$12,0))&gt;0,$E34&gt;INDEX('Rate Master'!$C$5:$C$12,MATCH($B34,'Rate Master'!$A$5:$A$12,0))),$F34&gt;INDEX('Rate Master'!$D$5:$D$12,MATCH($B34,'Rate Master'!$A$5:$A$12,0))),"Yes – deduct TDS","No – below threshold"))</f>
        <v/>
      </c>
      <c r="H34" s="14">
        <f>IF(LEFT($G34,3)&lt;&gt;"Yes",0,IF(INDEX('Rate Master'!$H$5:$H$12,MATCH($B34,'Rate Master'!$A$5:$A$12,0))="Excess",MAX(0,$F34-INDEX('Rate Master'!$D$5:$D$12,MATCH($B34,'Rate Master'!$A$5:$A$12,0))),$F34))</f>
        <v>0</v>
      </c>
      <c r="I34" s="15" t="str">
        <f>IF($B34="","",IF($D34="No",MAX(INDEX('Rate Master'!$G$5:$G$12,MATCH($B34,'Rate Master'!$A$5:$A$12,0)),IF($C34="Individual/HUF",INDEX('Rate Master'!$E$5:$E$12,MATCH($B34,'Rate Master'!$A$5:$A$12,0)),INDEX('Rate Master'!$F$5:$F$12,MATCH($B34,'Rate Master'!$A$5:$A$12,0)))),IF($C34="Individual/HUF",INDEX('Rate Master'!$E$5:$E$12,MATCH($B34,'Rate Master'!$A$5:$A$12,0)),INDEX('Rate Master'!$F$5:$F$12,MATCH($B34,'Rate Master'!$A$5:$A$12,0)))))</f>
        <v/>
      </c>
      <c r="J34" s="14">
        <f t="shared" si="0"/>
        <v>0</v>
      </c>
    </row>
    <row r="35" spans="1:10" x14ac:dyDescent="0.35">
      <c r="I35" s="16" t="s">
        <v>89</v>
      </c>
      <c r="J35" s="17">
        <f>SUM(J5:J34)</f>
        <v>2400</v>
      </c>
    </row>
    <row r="37" spans="1:10" x14ac:dyDescent="0.35">
      <c r="A37" s="7" t="s">
        <v>90</v>
      </c>
    </row>
  </sheetData>
  <mergeCells count="2">
    <mergeCell ref="A1:J1"/>
    <mergeCell ref="A2:J2"/>
  </mergeCells>
  <dataValidations count="2">
    <dataValidation type="list" allowBlank="1" sqref="C5:C34">
      <formula1>"Individual/HUF,Other"</formula1>
      <formula2>0</formula2>
    </dataValidation>
    <dataValidation type="list" allowBlank="1" sqref="D5:D34">
      <formula1>"Yes,No"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>
          <x14:formula1>
            <xm:f>'Rate Master'!$A$5:$A$12</xm:f>
          </x14:formula1>
          <x14:formula2>
            <xm:f>0</xm:f>
          </x14:formula2>
          <xm:sqref>B5:B34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5"/>
  <sheetViews>
    <sheetView showGridLines="0" zoomScaleNormal="100" workbookViewId="0">
      <selection sqref="A1:C1"/>
    </sheetView>
  </sheetViews>
  <sheetFormatPr defaultColWidth="8.6328125" defaultRowHeight="14.5" x14ac:dyDescent="0.35"/>
  <cols>
    <col min="1" max="1" width="30" customWidth="1"/>
    <col min="2" max="2" width="95" customWidth="1"/>
    <col min="3" max="3" width="32" customWidth="1"/>
  </cols>
  <sheetData>
    <row r="1" spans="1:3" ht="27.75" customHeight="1" x14ac:dyDescent="0.35">
      <c r="A1" s="2" t="s">
        <v>91</v>
      </c>
      <c r="B1" s="2"/>
      <c r="C1" s="2"/>
    </row>
    <row r="2" spans="1:3" ht="30" customHeight="1" x14ac:dyDescent="0.35">
      <c r="A2" s="1" t="s">
        <v>92</v>
      </c>
      <c r="B2" s="1"/>
      <c r="C2" s="1"/>
    </row>
    <row r="4" spans="1:3" ht="33.75" customHeight="1" x14ac:dyDescent="0.35">
      <c r="A4" s="3" t="s">
        <v>93</v>
      </c>
      <c r="B4" s="3" t="s">
        <v>94</v>
      </c>
      <c r="C4" s="3" t="s">
        <v>95</v>
      </c>
    </row>
    <row r="5" spans="1:3" ht="42" customHeight="1" x14ac:dyDescent="0.35">
      <c r="A5" s="18" t="s">
        <v>96</v>
      </c>
      <c r="B5" s="19" t="s">
        <v>97</v>
      </c>
      <c r="C5" s="19" t="s">
        <v>98</v>
      </c>
    </row>
    <row r="6" spans="1:3" ht="42" customHeight="1" x14ac:dyDescent="0.35">
      <c r="A6" s="18" t="s">
        <v>99</v>
      </c>
      <c r="B6" s="19" t="s">
        <v>100</v>
      </c>
      <c r="C6" s="19" t="s">
        <v>101</v>
      </c>
    </row>
    <row r="7" spans="1:3" ht="42" customHeight="1" x14ac:dyDescent="0.35">
      <c r="A7" s="18" t="s">
        <v>102</v>
      </c>
      <c r="B7" s="19" t="s">
        <v>103</v>
      </c>
      <c r="C7" s="19" t="s">
        <v>101</v>
      </c>
    </row>
    <row r="8" spans="1:3" ht="42" customHeight="1" x14ac:dyDescent="0.35">
      <c r="A8" s="18" t="s">
        <v>104</v>
      </c>
      <c r="B8" s="19" t="s">
        <v>105</v>
      </c>
      <c r="C8" s="19" t="s">
        <v>101</v>
      </c>
    </row>
    <row r="9" spans="1:3" ht="42" customHeight="1" x14ac:dyDescent="0.35">
      <c r="A9" s="18" t="s">
        <v>106</v>
      </c>
      <c r="B9" s="19" t="s">
        <v>107</v>
      </c>
      <c r="C9" s="19" t="s">
        <v>101</v>
      </c>
    </row>
    <row r="10" spans="1:3" ht="42" customHeight="1" x14ac:dyDescent="0.35">
      <c r="A10" s="18" t="s">
        <v>108</v>
      </c>
      <c r="B10" s="19" t="s">
        <v>109</v>
      </c>
      <c r="C10" s="19" t="s">
        <v>101</v>
      </c>
    </row>
    <row r="11" spans="1:3" ht="42" customHeight="1" x14ac:dyDescent="0.35">
      <c r="A11" s="18" t="s">
        <v>110</v>
      </c>
      <c r="B11" s="19" t="s">
        <v>111</v>
      </c>
      <c r="C11" s="19" t="s">
        <v>101</v>
      </c>
    </row>
    <row r="12" spans="1:3" ht="42" customHeight="1" x14ac:dyDescent="0.35">
      <c r="A12" s="18" t="s">
        <v>112</v>
      </c>
      <c r="B12" s="19" t="s">
        <v>113</v>
      </c>
      <c r="C12" s="19" t="s">
        <v>101</v>
      </c>
    </row>
    <row r="13" spans="1:3" ht="42" customHeight="1" x14ac:dyDescent="0.35">
      <c r="A13" s="18" t="s">
        <v>114</v>
      </c>
      <c r="B13" s="19" t="s">
        <v>115</v>
      </c>
      <c r="C13" s="19" t="s">
        <v>116</v>
      </c>
    </row>
    <row r="14" spans="1:3" ht="42" customHeight="1" x14ac:dyDescent="0.35">
      <c r="A14" s="18" t="s">
        <v>117</v>
      </c>
      <c r="B14" s="19" t="s">
        <v>118</v>
      </c>
      <c r="C14" s="19" t="s">
        <v>101</v>
      </c>
    </row>
    <row r="15" spans="1:3" ht="42" customHeight="1" x14ac:dyDescent="0.35">
      <c r="A15" s="18" t="s">
        <v>119</v>
      </c>
      <c r="B15" s="19" t="s">
        <v>120</v>
      </c>
      <c r="C15" s="19" t="s">
        <v>101</v>
      </c>
    </row>
  </sheetData>
  <mergeCells count="2">
    <mergeCell ref="A1:C1"/>
    <mergeCell ref="A2:C2"/>
  </mergeCells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TDS Summary</vt:lpstr>
      <vt:lpstr>Rate Master</vt:lpstr>
      <vt:lpstr>Applicability Checker</vt:lpstr>
      <vt:lpstr>Compliance &amp; Penalties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RMHAC3</cp:lastModifiedBy>
  <cp:revision>0</cp:revision>
  <dcterms:created xsi:type="dcterms:W3CDTF">2026-10-06T05:16:23Z</dcterms:created>
  <dcterms:modified xsi:type="dcterms:W3CDTF">2026-10-06T05:20:45Z</dcterms:modified>
  <dc:language>en-US</dc:language>
</cp:coreProperties>
</file>